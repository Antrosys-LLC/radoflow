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UMMRY" sheetId="5" r:id="rId1"/>
    <sheet name="Sheet1" sheetId="1" r:id="rId2"/>
  </sheets>
  <definedNames>
    <definedName name="_xlnm.Print_Area" localSheetId="1">Sheet1!$A$3:$O$755</definedName>
    <definedName name="_xlnm.Print_Area" localSheetId="0">SUMMRY!$A$3:$M$37</definedName>
  </definedNames>
  <calcPr calcId="144525"/>
</workbook>
</file>

<file path=xl/calcChain.xml><?xml version="1.0" encoding="utf-8"?>
<calcChain xmlns="http://schemas.openxmlformats.org/spreadsheetml/2006/main">
  <c r="N754" i="1" l="1"/>
  <c r="H754" i="1"/>
  <c r="F754" i="1"/>
  <c r="N753" i="1"/>
  <c r="H753" i="1"/>
  <c r="F753" i="1"/>
  <c r="N752" i="1"/>
  <c r="H752" i="1"/>
  <c r="F752" i="1"/>
  <c r="N751" i="1"/>
  <c r="H751" i="1"/>
  <c r="F751" i="1"/>
  <c r="N744" i="1"/>
  <c r="H744" i="1"/>
  <c r="F744" i="1"/>
  <c r="N743" i="1"/>
  <c r="H743" i="1"/>
  <c r="F743" i="1"/>
  <c r="N735" i="1"/>
  <c r="H735" i="1"/>
  <c r="F735" i="1"/>
  <c r="N734" i="1"/>
  <c r="H734" i="1"/>
  <c r="F734" i="1"/>
  <c r="N727" i="1"/>
  <c r="H727" i="1"/>
  <c r="F727" i="1"/>
  <c r="N726" i="1"/>
  <c r="H726" i="1"/>
  <c r="F726" i="1"/>
  <c r="N713" i="1"/>
  <c r="H713" i="1"/>
  <c r="F713" i="1"/>
  <c r="N712" i="1"/>
  <c r="H712" i="1"/>
  <c r="F712" i="1"/>
  <c r="N701" i="1"/>
  <c r="H701" i="1"/>
  <c r="F701" i="1"/>
  <c r="N700" i="1"/>
  <c r="H700" i="1"/>
  <c r="F700" i="1"/>
  <c r="N691" i="1"/>
  <c r="H691" i="1"/>
  <c r="F691" i="1"/>
  <c r="N690" i="1"/>
  <c r="H690" i="1"/>
  <c r="F690" i="1"/>
  <c r="N670" i="1"/>
  <c r="H670" i="1"/>
  <c r="F670" i="1"/>
  <c r="N669" i="1"/>
  <c r="H669" i="1"/>
  <c r="F669" i="1"/>
  <c r="N668" i="1"/>
  <c r="H668" i="1"/>
  <c r="F668" i="1"/>
  <c r="N667" i="1"/>
  <c r="H667" i="1"/>
  <c r="F667" i="1"/>
  <c r="N666" i="1"/>
  <c r="H666" i="1"/>
  <c r="F666" i="1"/>
  <c r="N665" i="1"/>
  <c r="H665" i="1"/>
  <c r="F665" i="1"/>
  <c r="N664" i="1"/>
  <c r="H664" i="1"/>
  <c r="F664" i="1"/>
  <c r="N663" i="1"/>
  <c r="H663" i="1"/>
  <c r="F663" i="1"/>
  <c r="N662" i="1"/>
  <c r="H662" i="1"/>
  <c r="F662" i="1"/>
  <c r="N661" i="1"/>
  <c r="H661" i="1"/>
  <c r="F661" i="1"/>
  <c r="N660" i="1"/>
  <c r="H660" i="1"/>
  <c r="F660" i="1"/>
  <c r="N659" i="1"/>
  <c r="H659" i="1"/>
  <c r="F659" i="1"/>
  <c r="N658" i="1"/>
  <c r="H658" i="1"/>
  <c r="F658" i="1"/>
  <c r="N657" i="1"/>
  <c r="H657" i="1"/>
  <c r="F657" i="1"/>
  <c r="N656" i="1"/>
  <c r="H656" i="1"/>
  <c r="F656" i="1"/>
  <c r="N655" i="1"/>
  <c r="H655" i="1"/>
  <c r="F655" i="1"/>
  <c r="N654" i="1"/>
  <c r="H654" i="1"/>
  <c r="F654" i="1"/>
  <c r="N653" i="1"/>
  <c r="H653" i="1"/>
  <c r="F653" i="1"/>
  <c r="N645" i="1"/>
  <c r="H645" i="1"/>
  <c r="F645" i="1"/>
  <c r="N644" i="1"/>
  <c r="H644" i="1"/>
  <c r="F644" i="1"/>
  <c r="N643" i="1"/>
  <c r="H643" i="1"/>
  <c r="F643" i="1"/>
  <c r="N642" i="1"/>
  <c r="H642" i="1"/>
  <c r="F642" i="1"/>
  <c r="N641" i="1"/>
  <c r="H641" i="1"/>
  <c r="F641" i="1"/>
  <c r="N640" i="1"/>
  <c r="H640" i="1"/>
  <c r="F640" i="1"/>
  <c r="N639" i="1"/>
  <c r="H639" i="1"/>
  <c r="F639" i="1"/>
  <c r="N638" i="1"/>
  <c r="H638" i="1"/>
  <c r="F638" i="1"/>
  <c r="N637" i="1"/>
  <c r="H637" i="1"/>
  <c r="F637" i="1"/>
  <c r="N636" i="1"/>
  <c r="H636" i="1"/>
  <c r="F636" i="1"/>
  <c r="N631" i="1"/>
  <c r="H631" i="1"/>
  <c r="F631" i="1"/>
  <c r="N630" i="1"/>
  <c r="H630" i="1"/>
  <c r="F630" i="1"/>
  <c r="N629" i="1"/>
  <c r="H629" i="1"/>
  <c r="F629" i="1"/>
  <c r="N628" i="1"/>
  <c r="H628" i="1"/>
  <c r="F628" i="1"/>
  <c r="N627" i="1"/>
  <c r="H627" i="1"/>
  <c r="F627" i="1"/>
  <c r="N626" i="1"/>
  <c r="H626" i="1"/>
  <c r="F626" i="1"/>
  <c r="N625" i="1"/>
  <c r="H625" i="1"/>
  <c r="F625" i="1"/>
  <c r="N624" i="1"/>
  <c r="H624" i="1"/>
  <c r="F624" i="1"/>
  <c r="N623" i="1"/>
  <c r="H623" i="1"/>
  <c r="F623" i="1"/>
  <c r="N622" i="1"/>
  <c r="H622" i="1"/>
  <c r="F622" i="1"/>
  <c r="N621" i="1"/>
  <c r="H621" i="1"/>
  <c r="F621" i="1"/>
  <c r="N620" i="1"/>
  <c r="H620" i="1"/>
  <c r="F620" i="1"/>
  <c r="N619" i="1"/>
  <c r="H619" i="1"/>
  <c r="F619" i="1"/>
  <c r="N618" i="1"/>
  <c r="H618" i="1"/>
  <c r="F618" i="1"/>
  <c r="N617" i="1"/>
  <c r="H617" i="1"/>
  <c r="F617" i="1"/>
  <c r="N611" i="1"/>
  <c r="H611" i="1"/>
  <c r="F611" i="1"/>
  <c r="N610" i="1"/>
  <c r="H610" i="1"/>
  <c r="F610" i="1"/>
  <c r="N609" i="1"/>
  <c r="H609" i="1"/>
  <c r="F609" i="1"/>
  <c r="N608" i="1"/>
  <c r="H608" i="1"/>
  <c r="F608" i="1"/>
  <c r="N607" i="1"/>
  <c r="H607" i="1"/>
  <c r="F607" i="1"/>
  <c r="N606" i="1"/>
  <c r="H606" i="1"/>
  <c r="F606" i="1"/>
  <c r="N605" i="1"/>
  <c r="H605" i="1"/>
  <c r="F605" i="1"/>
  <c r="N604" i="1"/>
  <c r="H604" i="1"/>
  <c r="F604" i="1"/>
  <c r="N603" i="1"/>
  <c r="H603" i="1"/>
  <c r="F603" i="1"/>
  <c r="N602" i="1"/>
  <c r="H602" i="1"/>
  <c r="F602" i="1"/>
  <c r="N601" i="1"/>
  <c r="H601" i="1"/>
  <c r="F601" i="1"/>
  <c r="N600" i="1"/>
  <c r="H600" i="1"/>
  <c r="F600" i="1"/>
  <c r="N599" i="1"/>
  <c r="H599" i="1"/>
  <c r="F599" i="1"/>
  <c r="N598" i="1"/>
  <c r="H598" i="1"/>
  <c r="F598" i="1"/>
  <c r="N597" i="1"/>
  <c r="H597" i="1"/>
  <c r="F597" i="1"/>
  <c r="N596" i="1"/>
  <c r="H596" i="1"/>
  <c r="F596" i="1"/>
  <c r="N591" i="1"/>
  <c r="H591" i="1"/>
  <c r="F591" i="1"/>
  <c r="N590" i="1"/>
  <c r="H590" i="1"/>
  <c r="F590" i="1"/>
  <c r="N589" i="1"/>
  <c r="H589" i="1"/>
  <c r="F589" i="1"/>
  <c r="N588" i="1"/>
  <c r="H588" i="1"/>
  <c r="F588" i="1"/>
  <c r="N587" i="1"/>
  <c r="H587" i="1"/>
  <c r="F587" i="1"/>
  <c r="N586" i="1"/>
  <c r="H586" i="1"/>
  <c r="F586" i="1"/>
  <c r="N585" i="1"/>
  <c r="H585" i="1"/>
  <c r="F585" i="1"/>
  <c r="N584" i="1"/>
  <c r="H584" i="1"/>
  <c r="F584" i="1"/>
  <c r="N583" i="1"/>
  <c r="H583" i="1"/>
  <c r="F583" i="1"/>
  <c r="N582" i="1"/>
  <c r="H582" i="1"/>
  <c r="F582" i="1"/>
  <c r="N581" i="1"/>
  <c r="H581" i="1"/>
  <c r="F581" i="1"/>
  <c r="N575" i="1"/>
  <c r="H575" i="1"/>
  <c r="F575" i="1"/>
  <c r="N574" i="1"/>
  <c r="H574" i="1"/>
  <c r="F574" i="1"/>
  <c r="N573" i="1"/>
  <c r="H573" i="1"/>
  <c r="F573" i="1"/>
  <c r="N572" i="1"/>
  <c r="H572" i="1"/>
  <c r="F572" i="1"/>
  <c r="N571" i="1"/>
  <c r="H571" i="1"/>
  <c r="F571" i="1"/>
  <c r="N570" i="1"/>
  <c r="H570" i="1"/>
  <c r="F570" i="1"/>
  <c r="N569" i="1"/>
  <c r="H569" i="1"/>
  <c r="F569" i="1"/>
  <c r="N568" i="1"/>
  <c r="H568" i="1"/>
  <c r="F568" i="1"/>
  <c r="N567" i="1"/>
  <c r="H567" i="1"/>
  <c r="F567" i="1"/>
  <c r="N566" i="1"/>
  <c r="H566" i="1"/>
  <c r="F566" i="1"/>
  <c r="N565" i="1"/>
  <c r="H565" i="1"/>
  <c r="F565" i="1"/>
  <c r="N564" i="1"/>
  <c r="H564" i="1"/>
  <c r="F564" i="1"/>
  <c r="N560" i="1"/>
  <c r="H560" i="1"/>
  <c r="F560" i="1"/>
  <c r="N559" i="1"/>
  <c r="H559" i="1"/>
  <c r="F559" i="1"/>
  <c r="N558" i="1"/>
  <c r="H558" i="1"/>
  <c r="F558" i="1"/>
  <c r="N557" i="1"/>
  <c r="H557" i="1"/>
  <c r="F557" i="1"/>
  <c r="N556" i="1"/>
  <c r="H556" i="1"/>
  <c r="F556" i="1"/>
  <c r="N555" i="1"/>
  <c r="H555" i="1"/>
  <c r="F555" i="1"/>
  <c r="N554" i="1"/>
  <c r="H554" i="1"/>
  <c r="F554" i="1"/>
  <c r="N553" i="1"/>
  <c r="H553" i="1"/>
  <c r="F553" i="1"/>
  <c r="N552" i="1"/>
  <c r="H552" i="1"/>
  <c r="F552" i="1"/>
  <c r="N551" i="1"/>
  <c r="H551" i="1"/>
  <c r="F551" i="1"/>
  <c r="N550" i="1"/>
  <c r="H550" i="1"/>
  <c r="F550" i="1"/>
  <c r="N549" i="1"/>
  <c r="H549" i="1"/>
  <c r="F549" i="1"/>
  <c r="N548" i="1"/>
  <c r="H548" i="1"/>
  <c r="F548" i="1"/>
  <c r="N547" i="1"/>
  <c r="H547" i="1"/>
  <c r="F547" i="1"/>
  <c r="N546" i="1"/>
  <c r="H546" i="1"/>
  <c r="F546" i="1"/>
  <c r="N545" i="1"/>
  <c r="H545" i="1"/>
  <c r="F545" i="1"/>
  <c r="N544" i="1"/>
  <c r="H544" i="1"/>
  <c r="F544" i="1"/>
  <c r="N543" i="1"/>
  <c r="H543" i="1"/>
  <c r="F543" i="1"/>
  <c r="N529" i="1"/>
  <c r="H529" i="1"/>
  <c r="F529" i="1"/>
  <c r="N528" i="1"/>
  <c r="H528" i="1"/>
  <c r="F528" i="1"/>
  <c r="N527" i="1"/>
  <c r="H527" i="1"/>
  <c r="F527" i="1"/>
  <c r="N526" i="1"/>
  <c r="H526" i="1"/>
  <c r="F526" i="1"/>
  <c r="N525" i="1"/>
  <c r="H525" i="1"/>
  <c r="F525" i="1"/>
  <c r="N524" i="1"/>
  <c r="H524" i="1"/>
  <c r="F524" i="1"/>
  <c r="N523" i="1"/>
  <c r="H523" i="1"/>
  <c r="F523" i="1"/>
  <c r="N522" i="1"/>
  <c r="H522" i="1"/>
  <c r="F522" i="1"/>
  <c r="N521" i="1"/>
  <c r="H521" i="1"/>
  <c r="F521" i="1"/>
  <c r="N520" i="1"/>
  <c r="H520" i="1"/>
  <c r="F520" i="1"/>
  <c r="N519" i="1"/>
  <c r="H519" i="1"/>
  <c r="F519" i="1"/>
  <c r="N518" i="1"/>
  <c r="H518" i="1"/>
  <c r="F518" i="1"/>
  <c r="N517" i="1"/>
  <c r="H517" i="1"/>
  <c r="F517" i="1"/>
  <c r="N516" i="1"/>
  <c r="H516" i="1"/>
  <c r="F516" i="1"/>
  <c r="N515" i="1"/>
  <c r="H515" i="1"/>
  <c r="F515" i="1"/>
  <c r="N514" i="1"/>
  <c r="H514" i="1"/>
  <c r="F514" i="1"/>
  <c r="N513" i="1"/>
  <c r="H513" i="1"/>
  <c r="F513" i="1"/>
  <c r="N512" i="1"/>
  <c r="H512" i="1"/>
  <c r="F512" i="1"/>
  <c r="N511" i="1"/>
  <c r="H511" i="1"/>
  <c r="F511" i="1"/>
  <c r="N510" i="1"/>
  <c r="H510" i="1"/>
  <c r="F510" i="1"/>
  <c r="N509" i="1"/>
  <c r="H509" i="1"/>
  <c r="F509" i="1"/>
  <c r="N502" i="1"/>
  <c r="H502" i="1"/>
  <c r="F502" i="1"/>
  <c r="N501" i="1"/>
  <c r="H501" i="1"/>
  <c r="F501" i="1"/>
  <c r="N500" i="1"/>
  <c r="H500" i="1"/>
  <c r="F500" i="1"/>
  <c r="N499" i="1"/>
  <c r="H499" i="1"/>
  <c r="F499" i="1"/>
  <c r="N498" i="1"/>
  <c r="H498" i="1"/>
  <c r="F498" i="1"/>
  <c r="N497" i="1"/>
  <c r="H497" i="1"/>
  <c r="F497" i="1"/>
  <c r="N496" i="1"/>
  <c r="H496" i="1"/>
  <c r="F496" i="1"/>
  <c r="N495" i="1"/>
  <c r="H495" i="1"/>
  <c r="F495" i="1"/>
  <c r="N494" i="1"/>
  <c r="H494" i="1"/>
  <c r="F494" i="1"/>
  <c r="N493" i="1"/>
  <c r="H493" i="1"/>
  <c r="F493" i="1"/>
  <c r="N489" i="1"/>
  <c r="H489" i="1"/>
  <c r="F489" i="1"/>
  <c r="N488" i="1"/>
  <c r="H488" i="1"/>
  <c r="F488" i="1"/>
  <c r="N487" i="1"/>
  <c r="H487" i="1"/>
  <c r="F487" i="1"/>
  <c r="N486" i="1"/>
  <c r="H486" i="1"/>
  <c r="F486" i="1"/>
  <c r="N485" i="1"/>
  <c r="H485" i="1"/>
  <c r="F485" i="1"/>
  <c r="N484" i="1"/>
  <c r="H484" i="1"/>
  <c r="F484" i="1"/>
  <c r="N483" i="1"/>
  <c r="H483" i="1"/>
  <c r="F483" i="1"/>
  <c r="N482" i="1"/>
  <c r="H482" i="1"/>
  <c r="F482" i="1"/>
  <c r="N481" i="1"/>
  <c r="H481" i="1"/>
  <c r="F481" i="1"/>
  <c r="N480" i="1"/>
  <c r="H480" i="1"/>
  <c r="F480" i="1"/>
  <c r="N479" i="1"/>
  <c r="H479" i="1"/>
  <c r="F479" i="1"/>
  <c r="N478" i="1"/>
  <c r="H478" i="1"/>
  <c r="F478" i="1"/>
  <c r="N477" i="1"/>
  <c r="H477" i="1"/>
  <c r="F477" i="1"/>
  <c r="N476" i="1"/>
  <c r="H476" i="1"/>
  <c r="F476" i="1"/>
  <c r="N475" i="1"/>
  <c r="H475" i="1"/>
  <c r="F475" i="1"/>
  <c r="N474" i="1"/>
  <c r="H474" i="1"/>
  <c r="F474" i="1"/>
  <c r="N473" i="1"/>
  <c r="H473" i="1"/>
  <c r="F473" i="1"/>
  <c r="N472" i="1"/>
  <c r="H472" i="1"/>
  <c r="F472" i="1"/>
  <c r="N454" i="1"/>
  <c r="H454" i="1"/>
  <c r="F454" i="1"/>
  <c r="N453" i="1"/>
  <c r="H453" i="1"/>
  <c r="F453" i="1"/>
  <c r="N452" i="1"/>
  <c r="H452" i="1"/>
  <c r="F452" i="1"/>
  <c r="N451" i="1"/>
  <c r="H451" i="1"/>
  <c r="F451" i="1"/>
  <c r="N450" i="1"/>
  <c r="H450" i="1"/>
  <c r="F450" i="1"/>
  <c r="N449" i="1"/>
  <c r="H449" i="1"/>
  <c r="F449" i="1"/>
  <c r="N448" i="1"/>
  <c r="H448" i="1"/>
  <c r="F448" i="1"/>
  <c r="N447" i="1"/>
  <c r="H447" i="1"/>
  <c r="F447" i="1"/>
  <c r="N446" i="1"/>
  <c r="H446" i="1"/>
  <c r="F446" i="1"/>
  <c r="N445" i="1"/>
  <c r="H445" i="1"/>
  <c r="F445" i="1"/>
  <c r="N444" i="1"/>
  <c r="H444" i="1"/>
  <c r="F444" i="1"/>
  <c r="N443" i="1"/>
  <c r="H443" i="1"/>
  <c r="F443" i="1"/>
  <c r="N442" i="1"/>
  <c r="H442" i="1"/>
  <c r="F442" i="1"/>
  <c r="N441" i="1"/>
  <c r="H441" i="1"/>
  <c r="F441" i="1"/>
  <c r="N440" i="1"/>
  <c r="H440" i="1"/>
  <c r="F440" i="1"/>
  <c r="N439" i="1"/>
  <c r="H439" i="1"/>
  <c r="F439" i="1"/>
  <c r="N438" i="1"/>
  <c r="H438" i="1"/>
  <c r="F438" i="1"/>
  <c r="N420" i="1"/>
  <c r="H420" i="1"/>
  <c r="F420" i="1"/>
  <c r="N419" i="1"/>
  <c r="H419" i="1"/>
  <c r="F419" i="1"/>
  <c r="N418" i="1"/>
  <c r="H418" i="1"/>
  <c r="F418" i="1"/>
  <c r="N417" i="1"/>
  <c r="H417" i="1"/>
  <c r="F417" i="1"/>
  <c r="N416" i="1"/>
  <c r="H416" i="1"/>
  <c r="F416" i="1"/>
  <c r="N415" i="1"/>
  <c r="H415" i="1"/>
  <c r="F415" i="1"/>
  <c r="N414" i="1"/>
  <c r="H414" i="1"/>
  <c r="F414" i="1"/>
  <c r="N413" i="1"/>
  <c r="H413" i="1"/>
  <c r="F413" i="1"/>
  <c r="N412" i="1"/>
  <c r="H412" i="1"/>
  <c r="F412" i="1"/>
  <c r="N411" i="1"/>
  <c r="H411" i="1"/>
  <c r="F411" i="1"/>
  <c r="N410" i="1"/>
  <c r="H410" i="1"/>
  <c r="F410" i="1"/>
  <c r="N409" i="1"/>
  <c r="H409" i="1"/>
  <c r="F409" i="1"/>
  <c r="N408" i="1"/>
  <c r="H408" i="1"/>
  <c r="F408" i="1"/>
  <c r="N407" i="1"/>
  <c r="H407" i="1"/>
  <c r="F407" i="1"/>
  <c r="N406" i="1"/>
  <c r="H406" i="1"/>
  <c r="F406" i="1"/>
  <c r="N405" i="1"/>
  <c r="H405" i="1"/>
  <c r="F405" i="1"/>
  <c r="N404" i="1"/>
  <c r="H404" i="1"/>
  <c r="F404" i="1"/>
  <c r="N403" i="1"/>
  <c r="H403" i="1"/>
  <c r="F403" i="1"/>
  <c r="N402" i="1"/>
  <c r="H402" i="1"/>
  <c r="F402" i="1"/>
  <c r="N382" i="1"/>
  <c r="H382" i="1"/>
  <c r="F382" i="1"/>
  <c r="N381" i="1"/>
  <c r="H381" i="1"/>
  <c r="F381" i="1"/>
  <c r="N380" i="1"/>
  <c r="H380" i="1"/>
  <c r="F380" i="1"/>
  <c r="N379" i="1"/>
  <c r="H379" i="1"/>
  <c r="F379" i="1"/>
  <c r="N378" i="1"/>
  <c r="H378" i="1"/>
  <c r="F378" i="1"/>
  <c r="N377" i="1"/>
  <c r="H377" i="1"/>
  <c r="F377" i="1"/>
  <c r="N376" i="1"/>
  <c r="H376" i="1"/>
  <c r="F376" i="1"/>
  <c r="N375" i="1"/>
  <c r="H375" i="1"/>
  <c r="F375" i="1"/>
  <c r="N374" i="1"/>
  <c r="H374" i="1"/>
  <c r="F374" i="1"/>
  <c r="N373" i="1"/>
  <c r="H373" i="1"/>
  <c r="F373" i="1"/>
  <c r="N372" i="1"/>
  <c r="H372" i="1"/>
  <c r="F372" i="1"/>
  <c r="N371" i="1"/>
  <c r="H371" i="1"/>
  <c r="F371" i="1"/>
  <c r="N370" i="1"/>
  <c r="H370" i="1"/>
  <c r="F370" i="1"/>
  <c r="N369" i="1"/>
  <c r="H369" i="1"/>
  <c r="F369" i="1"/>
  <c r="N368" i="1"/>
  <c r="H368" i="1"/>
  <c r="F368" i="1"/>
  <c r="N367" i="1"/>
  <c r="H367" i="1"/>
  <c r="F367" i="1"/>
  <c r="N366" i="1"/>
  <c r="H366" i="1"/>
  <c r="F366" i="1"/>
  <c r="N354" i="1"/>
  <c r="H354" i="1"/>
  <c r="F354" i="1"/>
  <c r="N353" i="1"/>
  <c r="H353" i="1"/>
  <c r="F353" i="1"/>
  <c r="N352" i="1"/>
  <c r="H352" i="1"/>
  <c r="F352" i="1"/>
  <c r="N351" i="1"/>
  <c r="H351" i="1"/>
  <c r="F351" i="1"/>
  <c r="N345" i="1"/>
  <c r="H345" i="1"/>
  <c r="F345" i="1"/>
  <c r="N344" i="1"/>
  <c r="H344" i="1"/>
  <c r="F344" i="1"/>
  <c r="N343" i="1"/>
  <c r="H343" i="1"/>
  <c r="F343" i="1"/>
  <c r="N342" i="1"/>
  <c r="H342" i="1"/>
  <c r="F342" i="1"/>
  <c r="N341" i="1"/>
  <c r="H341" i="1"/>
  <c r="F341" i="1"/>
  <c r="N340" i="1"/>
  <c r="H340" i="1"/>
  <c r="F340" i="1"/>
  <c r="N339" i="1"/>
  <c r="H339" i="1"/>
  <c r="F339" i="1"/>
  <c r="N338" i="1"/>
  <c r="H338" i="1"/>
  <c r="F338" i="1"/>
  <c r="N337" i="1"/>
  <c r="H337" i="1"/>
  <c r="F337" i="1"/>
  <c r="N336" i="1"/>
  <c r="H336" i="1"/>
  <c r="F336" i="1"/>
  <c r="N335" i="1"/>
  <c r="H335" i="1"/>
  <c r="F335" i="1"/>
  <c r="N334" i="1"/>
  <c r="H334" i="1"/>
  <c r="F334" i="1"/>
  <c r="N333" i="1"/>
  <c r="H333" i="1"/>
  <c r="F333" i="1"/>
  <c r="N332" i="1"/>
  <c r="H332" i="1"/>
  <c r="F332" i="1"/>
  <c r="N331" i="1"/>
  <c r="H331" i="1"/>
  <c r="F331" i="1"/>
  <c r="N302" i="1"/>
  <c r="H302" i="1"/>
  <c r="F302" i="1"/>
  <c r="N301" i="1"/>
  <c r="H301" i="1"/>
  <c r="F301" i="1"/>
  <c r="N300" i="1"/>
  <c r="H300" i="1"/>
  <c r="F300" i="1"/>
  <c r="N299" i="1"/>
  <c r="H299" i="1"/>
  <c r="F299" i="1"/>
  <c r="N298" i="1"/>
  <c r="H298" i="1"/>
  <c r="F298" i="1"/>
  <c r="N297" i="1"/>
  <c r="H297" i="1"/>
  <c r="F297" i="1"/>
  <c r="N296" i="1"/>
  <c r="H296" i="1"/>
  <c r="F296" i="1"/>
  <c r="N295" i="1"/>
  <c r="H295" i="1"/>
  <c r="F295" i="1"/>
  <c r="N285" i="1"/>
  <c r="H285" i="1"/>
  <c r="F285" i="1"/>
  <c r="N284" i="1"/>
  <c r="H284" i="1"/>
  <c r="F284" i="1"/>
  <c r="N283" i="1"/>
  <c r="H283" i="1"/>
  <c r="F283" i="1"/>
  <c r="N282" i="1"/>
  <c r="H282" i="1"/>
  <c r="F282" i="1"/>
  <c r="N281" i="1"/>
  <c r="H281" i="1"/>
  <c r="F281" i="1"/>
  <c r="N280" i="1"/>
  <c r="H280" i="1"/>
  <c r="F280" i="1"/>
  <c r="N270" i="1"/>
  <c r="H270" i="1"/>
  <c r="F270" i="1"/>
  <c r="N269" i="1"/>
  <c r="H269" i="1"/>
  <c r="F269" i="1"/>
  <c r="N268" i="1"/>
  <c r="H268" i="1"/>
  <c r="F268" i="1"/>
  <c r="N267" i="1"/>
  <c r="H267" i="1"/>
  <c r="F267" i="1"/>
  <c r="N266" i="1"/>
  <c r="H266" i="1"/>
  <c r="F266" i="1"/>
  <c r="N265" i="1"/>
  <c r="H265" i="1"/>
  <c r="F265" i="1"/>
  <c r="N264" i="1"/>
  <c r="H264" i="1"/>
  <c r="F264" i="1"/>
  <c r="N263" i="1"/>
  <c r="H263" i="1"/>
  <c r="F263" i="1"/>
  <c r="N262" i="1"/>
  <c r="H262" i="1"/>
  <c r="F262" i="1"/>
  <c r="N261" i="1"/>
  <c r="H261" i="1"/>
  <c r="F261" i="1"/>
  <c r="N260" i="1"/>
  <c r="H260" i="1"/>
  <c r="F260" i="1"/>
  <c r="N259" i="1"/>
  <c r="H259" i="1"/>
  <c r="F259" i="1"/>
  <c r="N235" i="1"/>
  <c r="H235" i="1"/>
  <c r="F235" i="1"/>
  <c r="N234" i="1"/>
  <c r="H234" i="1"/>
  <c r="F234" i="1"/>
  <c r="N233" i="1"/>
  <c r="H233" i="1"/>
  <c r="F233" i="1"/>
  <c r="N232" i="1"/>
  <c r="H232" i="1"/>
  <c r="F232" i="1"/>
  <c r="N231" i="1"/>
  <c r="H231" i="1"/>
  <c r="F231" i="1"/>
  <c r="N230" i="1"/>
  <c r="H230" i="1"/>
  <c r="F230" i="1"/>
  <c r="N229" i="1"/>
  <c r="H229" i="1"/>
  <c r="F229" i="1"/>
  <c r="N228" i="1"/>
  <c r="H228" i="1"/>
  <c r="F228" i="1"/>
  <c r="N227" i="1"/>
  <c r="H227" i="1"/>
  <c r="F227" i="1"/>
  <c r="N226" i="1"/>
  <c r="H226" i="1"/>
  <c r="F226" i="1"/>
  <c r="N225" i="1"/>
  <c r="H225" i="1"/>
  <c r="F225" i="1"/>
  <c r="N224" i="1"/>
  <c r="H224" i="1"/>
  <c r="F224" i="1"/>
  <c r="N223" i="1"/>
  <c r="H223" i="1"/>
  <c r="F223" i="1"/>
  <c r="N222" i="1"/>
  <c r="H222" i="1"/>
  <c r="F222" i="1"/>
  <c r="N204" i="1"/>
  <c r="H204" i="1"/>
  <c r="F204" i="1"/>
  <c r="N203" i="1"/>
  <c r="H203" i="1"/>
  <c r="F203" i="1"/>
  <c r="N202" i="1"/>
  <c r="H202" i="1"/>
  <c r="F202" i="1"/>
  <c r="N201" i="1"/>
  <c r="H201" i="1"/>
  <c r="F201" i="1"/>
  <c r="N200" i="1"/>
  <c r="H200" i="1"/>
  <c r="F200" i="1"/>
  <c r="N199" i="1"/>
  <c r="H199" i="1"/>
  <c r="F199" i="1"/>
  <c r="N198" i="1"/>
  <c r="H198" i="1"/>
  <c r="F198" i="1"/>
  <c r="N197" i="1"/>
  <c r="H197" i="1"/>
  <c r="F197" i="1"/>
  <c r="N196" i="1"/>
  <c r="H196" i="1"/>
  <c r="F196" i="1"/>
  <c r="N195" i="1"/>
  <c r="H195" i="1"/>
  <c r="F195" i="1"/>
  <c r="N194" i="1"/>
  <c r="H194" i="1"/>
  <c r="F194" i="1"/>
  <c r="N193" i="1"/>
  <c r="H193" i="1"/>
  <c r="F193" i="1"/>
  <c r="N192" i="1"/>
  <c r="H192" i="1"/>
  <c r="F192" i="1"/>
  <c r="N191" i="1"/>
  <c r="H191" i="1"/>
  <c r="F191" i="1"/>
  <c r="N190" i="1"/>
  <c r="H190" i="1"/>
  <c r="F190" i="1"/>
  <c r="N189" i="1"/>
  <c r="H189" i="1"/>
  <c r="F189" i="1"/>
  <c r="N184" i="1"/>
  <c r="H184" i="1"/>
  <c r="F184" i="1"/>
  <c r="N183" i="1"/>
  <c r="H183" i="1"/>
  <c r="F183" i="1"/>
  <c r="N182" i="1"/>
  <c r="H182" i="1"/>
  <c r="F182" i="1"/>
  <c r="N181" i="1"/>
  <c r="H181" i="1"/>
  <c r="F181" i="1"/>
  <c r="N180" i="1"/>
  <c r="H180" i="1"/>
  <c r="F180" i="1"/>
  <c r="N179" i="1"/>
  <c r="H179" i="1"/>
  <c r="F179" i="1"/>
  <c r="N178" i="1"/>
  <c r="H178" i="1"/>
  <c r="F178" i="1"/>
  <c r="N173" i="1"/>
  <c r="H173" i="1"/>
  <c r="F173" i="1"/>
  <c r="N172" i="1"/>
  <c r="H172" i="1"/>
  <c r="F172" i="1"/>
  <c r="N171" i="1"/>
  <c r="H171" i="1"/>
  <c r="F171" i="1"/>
  <c r="N170" i="1"/>
  <c r="H170" i="1"/>
  <c r="F170" i="1"/>
  <c r="N169" i="1"/>
  <c r="H169" i="1"/>
  <c r="F169" i="1"/>
  <c r="N168" i="1"/>
  <c r="H168" i="1"/>
  <c r="F168" i="1"/>
  <c r="N167" i="1"/>
  <c r="H167" i="1"/>
  <c r="F167" i="1"/>
  <c r="N166" i="1"/>
  <c r="H166" i="1"/>
  <c r="F166" i="1"/>
  <c r="N165" i="1"/>
  <c r="H165" i="1"/>
  <c r="F165" i="1"/>
  <c r="N164" i="1"/>
  <c r="H164" i="1"/>
  <c r="F164" i="1"/>
  <c r="N163" i="1"/>
  <c r="H163" i="1"/>
  <c r="F163" i="1"/>
  <c r="N162" i="1"/>
  <c r="H162" i="1"/>
  <c r="F162" i="1"/>
  <c r="N161" i="1"/>
  <c r="H161" i="1"/>
  <c r="F161" i="1"/>
  <c r="N160" i="1"/>
  <c r="H160" i="1"/>
  <c r="F160" i="1"/>
  <c r="N159" i="1"/>
  <c r="H159" i="1"/>
  <c r="F159" i="1"/>
  <c r="N158" i="1"/>
  <c r="H158" i="1"/>
  <c r="F158" i="1"/>
  <c r="N157" i="1"/>
  <c r="H157" i="1"/>
  <c r="F157" i="1"/>
  <c r="N156" i="1"/>
  <c r="H156" i="1"/>
  <c r="F156" i="1"/>
  <c r="N155" i="1"/>
  <c r="H155" i="1"/>
  <c r="F155" i="1"/>
  <c r="N154" i="1"/>
  <c r="H154" i="1"/>
  <c r="F154" i="1"/>
  <c r="N153" i="1"/>
  <c r="H153" i="1"/>
  <c r="F153" i="1"/>
  <c r="N136" i="1"/>
  <c r="H136" i="1"/>
  <c r="F136" i="1"/>
  <c r="N135" i="1"/>
  <c r="H135" i="1"/>
  <c r="F135" i="1"/>
  <c r="N134" i="1"/>
  <c r="H134" i="1"/>
  <c r="F134" i="1"/>
  <c r="N133" i="1"/>
  <c r="H133" i="1"/>
  <c r="F133" i="1"/>
  <c r="N132" i="1"/>
  <c r="H132" i="1"/>
  <c r="F132" i="1"/>
  <c r="N131" i="1"/>
  <c r="H131" i="1"/>
  <c r="F131" i="1"/>
  <c r="N130" i="1"/>
  <c r="H130" i="1"/>
  <c r="F130" i="1"/>
  <c r="N129" i="1"/>
  <c r="H129" i="1"/>
  <c r="F129" i="1"/>
  <c r="N128" i="1"/>
  <c r="H128" i="1"/>
  <c r="F128" i="1"/>
  <c r="N127" i="1"/>
  <c r="H127" i="1"/>
  <c r="F127" i="1"/>
  <c r="N126" i="1"/>
  <c r="H126" i="1"/>
  <c r="F126" i="1"/>
  <c r="N125" i="1"/>
  <c r="H125" i="1"/>
  <c r="F125" i="1"/>
  <c r="N124" i="1"/>
  <c r="H124" i="1"/>
  <c r="F124" i="1"/>
  <c r="N123" i="1"/>
  <c r="H123" i="1"/>
  <c r="F123" i="1"/>
  <c r="N122" i="1"/>
  <c r="H122" i="1"/>
  <c r="F122" i="1"/>
  <c r="N121" i="1"/>
  <c r="H121" i="1"/>
  <c r="F121" i="1"/>
  <c r="N120" i="1"/>
  <c r="H120" i="1"/>
  <c r="F120" i="1"/>
  <c r="N119" i="1"/>
  <c r="H119" i="1"/>
  <c r="F119" i="1"/>
  <c r="N118" i="1"/>
  <c r="H118" i="1"/>
  <c r="F118" i="1"/>
  <c r="N105" i="1"/>
  <c r="H105" i="1"/>
  <c r="F105" i="1"/>
  <c r="N104" i="1"/>
  <c r="H104" i="1"/>
  <c r="F104" i="1"/>
  <c r="N103" i="1"/>
  <c r="H103" i="1"/>
  <c r="F103" i="1"/>
  <c r="N102" i="1"/>
  <c r="H102" i="1"/>
  <c r="F102" i="1"/>
  <c r="N101" i="1"/>
  <c r="H101" i="1"/>
  <c r="F101" i="1"/>
  <c r="N100" i="1"/>
  <c r="H100" i="1"/>
  <c r="F100" i="1"/>
  <c r="N99" i="1"/>
  <c r="H99" i="1"/>
  <c r="F99" i="1"/>
  <c r="N98" i="1"/>
  <c r="H98" i="1"/>
  <c r="F98" i="1"/>
  <c r="N97" i="1"/>
  <c r="H97" i="1"/>
  <c r="F97" i="1"/>
  <c r="N89" i="1"/>
  <c r="H89" i="1"/>
  <c r="F89" i="1"/>
  <c r="N88" i="1"/>
  <c r="H88" i="1"/>
  <c r="F88" i="1"/>
  <c r="N87" i="1"/>
  <c r="H87" i="1"/>
  <c r="F87" i="1"/>
  <c r="N86" i="1"/>
  <c r="H86" i="1"/>
  <c r="F86" i="1"/>
  <c r="N85" i="1"/>
  <c r="H85" i="1"/>
  <c r="F85" i="1"/>
  <c r="N84" i="1"/>
  <c r="H84" i="1"/>
  <c r="F84" i="1"/>
  <c r="N83" i="1"/>
  <c r="H83" i="1"/>
  <c r="F83" i="1"/>
  <c r="N82" i="1"/>
  <c r="H82" i="1"/>
  <c r="F82" i="1"/>
  <c r="N81" i="1"/>
  <c r="H81" i="1"/>
  <c r="F81" i="1"/>
  <c r="N71" i="1"/>
  <c r="H71" i="1"/>
  <c r="F71" i="1"/>
  <c r="N70" i="1"/>
  <c r="H70" i="1"/>
  <c r="F70" i="1"/>
  <c r="N69" i="1"/>
  <c r="H69" i="1"/>
  <c r="F69" i="1"/>
  <c r="N68" i="1"/>
  <c r="H68" i="1"/>
  <c r="F68" i="1"/>
  <c r="N67" i="1"/>
  <c r="H67" i="1"/>
  <c r="F67" i="1"/>
  <c r="N66" i="1"/>
  <c r="H66" i="1"/>
  <c r="F66" i="1"/>
  <c r="N65" i="1"/>
  <c r="H65" i="1"/>
  <c r="F65" i="1"/>
  <c r="N64" i="1"/>
  <c r="H64" i="1"/>
  <c r="F64" i="1"/>
  <c r="N63" i="1"/>
  <c r="H63" i="1"/>
  <c r="F63" i="1"/>
  <c r="N62" i="1"/>
  <c r="H62" i="1"/>
  <c r="F62" i="1"/>
  <c r="N61" i="1"/>
  <c r="H61" i="1"/>
  <c r="F61" i="1"/>
  <c r="N60" i="1"/>
  <c r="H60" i="1"/>
  <c r="F60" i="1"/>
  <c r="N50" i="1"/>
  <c r="H50" i="1"/>
  <c r="F50" i="1"/>
  <c r="N49" i="1"/>
  <c r="H49" i="1"/>
  <c r="F49" i="1"/>
  <c r="N48" i="1"/>
  <c r="H48" i="1"/>
  <c r="F48" i="1"/>
  <c r="N47" i="1"/>
  <c r="H47" i="1"/>
  <c r="F47" i="1"/>
  <c r="N46" i="1"/>
  <c r="H46" i="1"/>
  <c r="F46" i="1"/>
  <c r="N45" i="1"/>
  <c r="H45" i="1"/>
  <c r="F45" i="1"/>
  <c r="N44" i="1"/>
  <c r="N43" i="1"/>
  <c r="H43" i="1"/>
  <c r="F43" i="1"/>
  <c r="N34" i="1"/>
  <c r="H34" i="1"/>
  <c r="F34" i="1"/>
  <c r="N33" i="1"/>
  <c r="H33" i="1"/>
  <c r="F33" i="1"/>
  <c r="N32" i="1"/>
  <c r="H32" i="1"/>
  <c r="F32" i="1"/>
  <c r="N31" i="1"/>
  <c r="H31" i="1"/>
  <c r="F31" i="1"/>
  <c r="N30" i="1"/>
  <c r="H30" i="1"/>
  <c r="F30" i="1"/>
  <c r="N29" i="1"/>
  <c r="H29" i="1"/>
  <c r="F29" i="1"/>
  <c r="N28" i="1"/>
  <c r="H28" i="1"/>
  <c r="F28" i="1"/>
  <c r="N27" i="1"/>
  <c r="H27" i="1"/>
  <c r="F27" i="1"/>
  <c r="N26" i="1"/>
  <c r="H26" i="1"/>
  <c r="F26" i="1"/>
  <c r="N25" i="1"/>
  <c r="H25" i="1"/>
  <c r="F25" i="1"/>
  <c r="N19" i="1"/>
  <c r="H19" i="1"/>
  <c r="F19" i="1"/>
  <c r="N18" i="1"/>
  <c r="N17" i="1"/>
  <c r="H17" i="1"/>
  <c r="F17" i="1"/>
  <c r="N16" i="1"/>
  <c r="H16" i="1"/>
  <c r="F16" i="1"/>
  <c r="N15" i="1"/>
  <c r="H15" i="1"/>
  <c r="F15" i="1"/>
  <c r="N14" i="1"/>
  <c r="H14" i="1"/>
  <c r="F14" i="1"/>
  <c r="N13" i="1"/>
  <c r="H13" i="1"/>
  <c r="F13" i="1"/>
  <c r="N12" i="1"/>
  <c r="H12" i="1"/>
  <c r="F12" i="1"/>
  <c r="N11" i="1"/>
  <c r="H11" i="1"/>
  <c r="F11" i="1"/>
  <c r="N10" i="1"/>
  <c r="H10" i="1"/>
  <c r="F10" i="1"/>
  <c r="N9" i="1"/>
  <c r="H9" i="1"/>
  <c r="F9" i="1"/>
  <c r="N8" i="1"/>
  <c r="H8" i="1"/>
  <c r="F8" i="1"/>
  <c r="N7" i="1"/>
  <c r="H7" i="1"/>
  <c r="F7" i="1"/>
  <c r="N6" i="1"/>
  <c r="H6" i="1"/>
  <c r="F6" i="1"/>
  <c r="I663" i="1" l="1"/>
  <c r="I665" i="1"/>
  <c r="I667" i="1"/>
  <c r="I712" i="1"/>
  <c r="I726" i="1"/>
  <c r="I734" i="1"/>
  <c r="I743" i="1"/>
  <c r="I751" i="1"/>
  <c r="I9" i="1"/>
  <c r="I11" i="1"/>
  <c r="I13" i="1"/>
  <c r="I15" i="1"/>
  <c r="I17" i="1"/>
  <c r="I19" i="1"/>
  <c r="I26" i="1"/>
  <c r="I28" i="1"/>
  <c r="I30" i="1"/>
  <c r="I32" i="1"/>
  <c r="I34" i="1"/>
  <c r="I46" i="1"/>
  <c r="I48" i="1"/>
  <c r="I50" i="1"/>
  <c r="I61" i="1"/>
  <c r="I63" i="1"/>
  <c r="I65" i="1"/>
  <c r="I67" i="1"/>
  <c r="I69" i="1"/>
  <c r="I71" i="1"/>
  <c r="I82" i="1"/>
  <c r="I84" i="1"/>
  <c r="I86" i="1"/>
  <c r="I88" i="1"/>
  <c r="I97" i="1"/>
  <c r="I99" i="1"/>
  <c r="I101" i="1"/>
  <c r="I103" i="1"/>
  <c r="I105" i="1"/>
  <c r="I119" i="1"/>
  <c r="I121" i="1"/>
  <c r="I123" i="1"/>
  <c r="I125" i="1"/>
  <c r="I127" i="1"/>
  <c r="I129" i="1"/>
  <c r="I131" i="1"/>
  <c r="I133" i="1"/>
  <c r="I135" i="1"/>
  <c r="I153" i="1"/>
  <c r="I155" i="1"/>
  <c r="I157" i="1"/>
  <c r="I159" i="1"/>
  <c r="I161" i="1"/>
  <c r="I163" i="1"/>
  <c r="I165" i="1"/>
  <c r="I167" i="1"/>
  <c r="I171" i="1"/>
  <c r="I173" i="1"/>
  <c r="I179" i="1"/>
  <c r="I181" i="1"/>
  <c r="I183" i="1"/>
  <c r="I190" i="1"/>
  <c r="I192" i="1"/>
  <c r="I194" i="1"/>
  <c r="I197" i="1"/>
  <c r="I199" i="1"/>
  <c r="I201" i="1"/>
  <c r="I224" i="1"/>
  <c r="I226" i="1"/>
  <c r="I228" i="1"/>
  <c r="I230" i="1"/>
  <c r="I232" i="1"/>
  <c r="I259" i="1"/>
  <c r="I261" i="1"/>
  <c r="I263" i="1"/>
  <c r="I265" i="1"/>
  <c r="I267" i="1"/>
  <c r="I280" i="1"/>
  <c r="I282" i="1"/>
  <c r="I284" i="1"/>
  <c r="I296" i="1"/>
  <c r="I298" i="1"/>
  <c r="I333" i="1"/>
  <c r="I335" i="1"/>
  <c r="I338" i="1"/>
  <c r="I341" i="1"/>
  <c r="I343" i="1"/>
  <c r="I345" i="1"/>
  <c r="I352" i="1"/>
  <c r="I354" i="1"/>
  <c r="I371" i="1"/>
  <c r="I373" i="1"/>
  <c r="I375" i="1"/>
  <c r="I380" i="1"/>
  <c r="I382" i="1"/>
  <c r="I403" i="1"/>
  <c r="I405" i="1"/>
  <c r="I412" i="1"/>
  <c r="I414" i="1"/>
  <c r="I416" i="1"/>
  <c r="I418" i="1"/>
  <c r="I420" i="1"/>
  <c r="I440" i="1"/>
  <c r="I442" i="1"/>
  <c r="I444" i="1"/>
  <c r="I448" i="1"/>
  <c r="I450" i="1"/>
  <c r="I452" i="1"/>
  <c r="I454" i="1"/>
  <c r="I473" i="1"/>
  <c r="I475" i="1"/>
  <c r="I477" i="1"/>
  <c r="I479" i="1"/>
  <c r="I481" i="1"/>
  <c r="I483" i="1"/>
  <c r="I485" i="1"/>
  <c r="I487" i="1"/>
  <c r="I489" i="1"/>
  <c r="I494" i="1"/>
  <c r="I496" i="1"/>
  <c r="I498" i="1"/>
  <c r="I500" i="1"/>
  <c r="I502" i="1"/>
  <c r="I510" i="1"/>
  <c r="I512" i="1"/>
  <c r="I514" i="1"/>
  <c r="I517" i="1"/>
  <c r="I519" i="1"/>
  <c r="I521" i="1"/>
  <c r="I523" i="1"/>
  <c r="I525" i="1"/>
  <c r="I544" i="1"/>
  <c r="I546" i="1"/>
  <c r="I548" i="1"/>
  <c r="I550" i="1"/>
  <c r="I552" i="1"/>
  <c r="I554" i="1"/>
  <c r="I556" i="1"/>
  <c r="I558" i="1"/>
  <c r="I560" i="1"/>
  <c r="I565" i="1"/>
  <c r="I567" i="1"/>
  <c r="I569" i="1"/>
  <c r="I571" i="1"/>
  <c r="I573" i="1"/>
  <c r="I575" i="1"/>
  <c r="I582" i="1"/>
  <c r="I586" i="1"/>
  <c r="I588" i="1"/>
  <c r="I596" i="1"/>
  <c r="I598" i="1"/>
  <c r="I600" i="1"/>
  <c r="I602" i="1"/>
  <c r="I604" i="1"/>
  <c r="I606" i="1"/>
  <c r="I608" i="1"/>
  <c r="I619" i="1"/>
  <c r="I621" i="1"/>
  <c r="I623" i="1"/>
  <c r="I625" i="1"/>
  <c r="I629" i="1"/>
  <c r="I631" i="1"/>
  <c r="I637" i="1"/>
  <c r="I639" i="1"/>
  <c r="I641" i="1"/>
  <c r="I643" i="1"/>
  <c r="I645" i="1"/>
  <c r="I654" i="1"/>
  <c r="I656" i="1"/>
  <c r="I658" i="1"/>
  <c r="I660" i="1"/>
  <c r="I6" i="1"/>
  <c r="I8" i="1"/>
  <c r="I10" i="1"/>
  <c r="I12" i="1"/>
  <c r="I14" i="1"/>
  <c r="I16" i="1"/>
  <c r="I25" i="1"/>
  <c r="I27" i="1"/>
  <c r="I29" i="1"/>
  <c r="I31" i="1"/>
  <c r="I43" i="1"/>
  <c r="I45" i="1"/>
  <c r="I47" i="1"/>
  <c r="I60" i="1"/>
  <c r="I62" i="1"/>
  <c r="I64" i="1"/>
  <c r="I68" i="1"/>
  <c r="I70" i="1"/>
  <c r="I83" i="1"/>
  <c r="I85" i="1"/>
  <c r="I87" i="1"/>
  <c r="I89" i="1"/>
  <c r="I98" i="1"/>
  <c r="I100" i="1"/>
  <c r="I102" i="1"/>
  <c r="I104" i="1"/>
  <c r="I118" i="1"/>
  <c r="I120" i="1"/>
  <c r="I122" i="1"/>
  <c r="I124" i="1"/>
  <c r="I126" i="1"/>
  <c r="I128" i="1"/>
  <c r="I132" i="1"/>
  <c r="I134" i="1"/>
  <c r="I136" i="1"/>
  <c r="I154" i="1"/>
  <c r="I156" i="1"/>
  <c r="I158" i="1"/>
  <c r="I160" i="1"/>
  <c r="I162" i="1"/>
  <c r="I164" i="1"/>
  <c r="I166" i="1"/>
  <c r="I168" i="1"/>
  <c r="I170" i="1"/>
  <c r="I172" i="1"/>
  <c r="I178" i="1"/>
  <c r="I180" i="1"/>
  <c r="I182" i="1"/>
  <c r="I184" i="1"/>
  <c r="I189" i="1"/>
  <c r="I191" i="1"/>
  <c r="I193" i="1"/>
  <c r="I195" i="1"/>
  <c r="I196" i="1"/>
  <c r="I198" i="1"/>
  <c r="I200" i="1"/>
  <c r="I202" i="1"/>
  <c r="I204" i="1"/>
  <c r="I223" i="1"/>
  <c r="I225" i="1"/>
  <c r="I227" i="1"/>
  <c r="I229" i="1"/>
  <c r="I231" i="1"/>
  <c r="I233" i="1"/>
  <c r="I235" i="1"/>
  <c r="I260" i="1"/>
  <c r="I262" i="1"/>
  <c r="I264" i="1"/>
  <c r="I266" i="1"/>
  <c r="I268" i="1"/>
  <c r="I270" i="1"/>
  <c r="I281" i="1"/>
  <c r="I295" i="1"/>
  <c r="I297" i="1"/>
  <c r="I299" i="1"/>
  <c r="I300" i="1"/>
  <c r="I302" i="1"/>
  <c r="I332" i="1"/>
  <c r="I334" i="1"/>
  <c r="I336" i="1"/>
  <c r="I337" i="1"/>
  <c r="I339" i="1"/>
  <c r="I342" i="1"/>
  <c r="I344" i="1"/>
  <c r="I351" i="1"/>
  <c r="I353" i="1"/>
  <c r="I366" i="1"/>
  <c r="I368" i="1"/>
  <c r="I370" i="1"/>
  <c r="I372" i="1"/>
  <c r="I374" i="1"/>
  <c r="I376" i="1"/>
  <c r="I377" i="1"/>
  <c r="I379" i="1"/>
  <c r="I381" i="1"/>
  <c r="I402" i="1"/>
  <c r="I404" i="1"/>
  <c r="I406" i="1"/>
  <c r="I407" i="1"/>
  <c r="I409" i="1"/>
  <c r="I411" i="1"/>
  <c r="I413" i="1"/>
  <c r="I415" i="1"/>
  <c r="I417" i="1"/>
  <c r="I438" i="1"/>
  <c r="I441" i="1"/>
  <c r="I443" i="1"/>
  <c r="I445" i="1"/>
  <c r="I446" i="1"/>
  <c r="I447" i="1"/>
  <c r="I449" i="1"/>
  <c r="I451" i="1"/>
  <c r="I472" i="1"/>
  <c r="I474" i="1"/>
  <c r="I476" i="1"/>
  <c r="I478" i="1"/>
  <c r="I480" i="1"/>
  <c r="I482" i="1"/>
  <c r="I484" i="1"/>
  <c r="I486" i="1"/>
  <c r="I488" i="1"/>
  <c r="I493" i="1"/>
  <c r="I495" i="1"/>
  <c r="I497" i="1"/>
  <c r="I499" i="1"/>
  <c r="I509" i="1"/>
  <c r="I511" i="1"/>
  <c r="I513" i="1"/>
  <c r="I515" i="1"/>
  <c r="I516" i="1"/>
  <c r="I518" i="1"/>
  <c r="I520" i="1"/>
  <c r="I522" i="1"/>
  <c r="I524" i="1"/>
  <c r="I526" i="1"/>
  <c r="I528" i="1"/>
  <c r="I543" i="1"/>
  <c r="I545" i="1"/>
  <c r="I547" i="1"/>
  <c r="I549" i="1"/>
  <c r="I551" i="1"/>
  <c r="I553" i="1"/>
  <c r="I555" i="1"/>
  <c r="I557" i="1"/>
  <c r="I559" i="1"/>
  <c r="I564" i="1"/>
  <c r="I566" i="1"/>
  <c r="I568" i="1"/>
  <c r="I570" i="1"/>
  <c r="I572" i="1"/>
  <c r="I581" i="1"/>
  <c r="I583" i="1"/>
  <c r="I585" i="1"/>
  <c r="I587" i="1"/>
  <c r="I589" i="1"/>
  <c r="I591" i="1"/>
  <c r="I597" i="1"/>
  <c r="I599" i="1"/>
  <c r="I601" i="1"/>
  <c r="I603" i="1"/>
  <c r="I605" i="1"/>
  <c r="I607" i="1"/>
  <c r="I609" i="1"/>
  <c r="I611" i="1"/>
  <c r="I618" i="1"/>
  <c r="I620" i="1"/>
  <c r="I622" i="1"/>
  <c r="I624" i="1"/>
  <c r="I626" i="1"/>
  <c r="I636" i="1"/>
  <c r="I638" i="1"/>
  <c r="I640" i="1"/>
  <c r="I642" i="1"/>
  <c r="I644" i="1"/>
  <c r="I653" i="1"/>
  <c r="I655" i="1"/>
  <c r="I657" i="1"/>
  <c r="I659" i="1"/>
  <c r="I661" i="1"/>
  <c r="I662" i="1"/>
  <c r="I664" i="1"/>
  <c r="I666" i="1"/>
  <c r="I668" i="1"/>
  <c r="I670" i="1"/>
  <c r="I691" i="1"/>
  <c r="I701" i="1"/>
  <c r="I713" i="1"/>
  <c r="I727" i="1"/>
  <c r="I735" i="1"/>
  <c r="I744" i="1"/>
  <c r="I754" i="1"/>
  <c r="I33" i="1"/>
  <c r="I49" i="1"/>
  <c r="I66" i="1"/>
  <c r="I81" i="1"/>
  <c r="I130" i="1"/>
  <c r="I283" i="1"/>
  <c r="I285" i="1"/>
  <c r="I419" i="1"/>
  <c r="I439" i="1"/>
  <c r="I453" i="1"/>
  <c r="I501" i="1"/>
  <c r="I574" i="1"/>
  <c r="I628" i="1"/>
  <c r="I630" i="1"/>
  <c r="I669" i="1"/>
  <c r="I690" i="1"/>
  <c r="I700" i="1"/>
  <c r="I753" i="1"/>
  <c r="I7" i="1"/>
  <c r="I169" i="1"/>
  <c r="I203" i="1"/>
  <c r="I222" i="1"/>
  <c r="I234" i="1"/>
  <c r="I269" i="1"/>
  <c r="I301" i="1"/>
  <c r="I331" i="1"/>
  <c r="I340" i="1"/>
  <c r="I367" i="1"/>
  <c r="I369" i="1"/>
  <c r="I378" i="1"/>
  <c r="I408" i="1"/>
  <c r="I410" i="1"/>
  <c r="I527" i="1"/>
  <c r="I529" i="1"/>
  <c r="I584" i="1"/>
  <c r="I590" i="1"/>
  <c r="I610" i="1"/>
  <c r="I617" i="1"/>
  <c r="I627" i="1"/>
  <c r="I752" i="1"/>
  <c r="N745" i="1"/>
  <c r="N736" i="1"/>
  <c r="N728" i="1"/>
  <c r="N714" i="1"/>
  <c r="N5" i="1"/>
  <c r="J35" i="1"/>
  <c r="H5" i="1"/>
  <c r="F702" i="1"/>
  <c r="F692" i="1"/>
  <c r="F671" i="1"/>
  <c r="M755" i="1"/>
  <c r="L755" i="1"/>
  <c r="K755" i="1"/>
  <c r="J755" i="1"/>
  <c r="H755" i="1"/>
  <c r="G755" i="1"/>
  <c r="F755" i="1"/>
  <c r="E755" i="1"/>
  <c r="D755" i="1"/>
  <c r="M745" i="1"/>
  <c r="L745" i="1"/>
  <c r="K745" i="1"/>
  <c r="J745" i="1"/>
  <c r="H745" i="1"/>
  <c r="G745" i="1"/>
  <c r="F745" i="1"/>
  <c r="E745" i="1"/>
  <c r="D745" i="1"/>
  <c r="M736" i="1"/>
  <c r="L736" i="1"/>
  <c r="K736" i="1"/>
  <c r="J736" i="1"/>
  <c r="H736" i="1"/>
  <c r="G736" i="1"/>
  <c r="F736" i="1"/>
  <c r="E736" i="1"/>
  <c r="D736" i="1"/>
  <c r="M728" i="1"/>
  <c r="L728" i="1"/>
  <c r="K728" i="1"/>
  <c r="J728" i="1"/>
  <c r="H728" i="1"/>
  <c r="G728" i="1"/>
  <c r="F728" i="1"/>
  <c r="E728" i="1"/>
  <c r="D728" i="1"/>
  <c r="M714" i="1"/>
  <c r="L714" i="1"/>
  <c r="K714" i="1"/>
  <c r="J714" i="1"/>
  <c r="H714" i="1"/>
  <c r="G714" i="1"/>
  <c r="F714" i="1"/>
  <c r="E714" i="1"/>
  <c r="D714" i="1"/>
  <c r="M702" i="1"/>
  <c r="L702" i="1"/>
  <c r="K702" i="1"/>
  <c r="J702" i="1"/>
  <c r="G702" i="1"/>
  <c r="E702" i="1"/>
  <c r="D702" i="1"/>
  <c r="N692" i="1"/>
  <c r="M692" i="1"/>
  <c r="L692" i="1"/>
  <c r="K692" i="1"/>
  <c r="J692" i="1"/>
  <c r="G692" i="1"/>
  <c r="E692" i="1"/>
  <c r="D692" i="1"/>
  <c r="N671" i="1"/>
  <c r="M671" i="1"/>
  <c r="L671" i="1"/>
  <c r="K671" i="1"/>
  <c r="J671" i="1"/>
  <c r="G671" i="1"/>
  <c r="E671" i="1"/>
  <c r="D671" i="1"/>
  <c r="M646" i="1"/>
  <c r="L646" i="1"/>
  <c r="K646" i="1"/>
  <c r="J646" i="1"/>
  <c r="G646" i="1"/>
  <c r="E646" i="1"/>
  <c r="D646" i="1"/>
  <c r="M632" i="1"/>
  <c r="L632" i="1"/>
  <c r="K632" i="1"/>
  <c r="J632" i="1"/>
  <c r="G632" i="1"/>
  <c r="E632" i="1"/>
  <c r="D632" i="1"/>
  <c r="N612" i="1"/>
  <c r="M612" i="1"/>
  <c r="L612" i="1"/>
  <c r="K612" i="1"/>
  <c r="J612" i="1"/>
  <c r="G612" i="1"/>
  <c r="E612" i="1"/>
  <c r="D612" i="1"/>
  <c r="N592" i="1"/>
  <c r="M592" i="1"/>
  <c r="L592" i="1"/>
  <c r="K592" i="1"/>
  <c r="J592" i="1"/>
  <c r="G592" i="1"/>
  <c r="E592" i="1"/>
  <c r="D592" i="1"/>
  <c r="N576" i="1"/>
  <c r="M576" i="1"/>
  <c r="L576" i="1"/>
  <c r="K576" i="1"/>
  <c r="J576" i="1"/>
  <c r="G576" i="1"/>
  <c r="E576" i="1"/>
  <c r="D576" i="1"/>
  <c r="N561" i="1"/>
  <c r="M577" i="1" s="1"/>
  <c r="M561" i="1"/>
  <c r="L561" i="1"/>
  <c r="K561" i="1"/>
  <c r="J561" i="1"/>
  <c r="G561" i="1"/>
  <c r="E561" i="1"/>
  <c r="D561" i="1"/>
  <c r="N530" i="1"/>
  <c r="M530" i="1"/>
  <c r="L530" i="1"/>
  <c r="K530" i="1"/>
  <c r="J530" i="1"/>
  <c r="G530" i="1"/>
  <c r="E530" i="1"/>
  <c r="D530" i="1"/>
  <c r="N503" i="1"/>
  <c r="M503" i="1"/>
  <c r="L503" i="1"/>
  <c r="K503" i="1"/>
  <c r="J503" i="1"/>
  <c r="G503" i="1"/>
  <c r="E503" i="1"/>
  <c r="D503" i="1"/>
  <c r="N490" i="1"/>
  <c r="M490" i="1"/>
  <c r="L490" i="1"/>
  <c r="K490" i="1"/>
  <c r="J490" i="1"/>
  <c r="G490" i="1"/>
  <c r="E490" i="1"/>
  <c r="D490" i="1"/>
  <c r="M455" i="1"/>
  <c r="L455" i="1"/>
  <c r="K455" i="1"/>
  <c r="J455" i="1"/>
  <c r="H455" i="1"/>
  <c r="G455" i="1"/>
  <c r="F455" i="1"/>
  <c r="E455" i="1"/>
  <c r="D455" i="1"/>
  <c r="M421" i="1"/>
  <c r="L421" i="1"/>
  <c r="K421" i="1"/>
  <c r="J421" i="1"/>
  <c r="G421" i="1"/>
  <c r="E421" i="1"/>
  <c r="D421" i="1"/>
  <c r="N383" i="1"/>
  <c r="M383" i="1"/>
  <c r="L383" i="1"/>
  <c r="K383" i="1"/>
  <c r="J383" i="1"/>
  <c r="G383" i="1"/>
  <c r="E383" i="1"/>
  <c r="D383" i="1"/>
  <c r="N355" i="1"/>
  <c r="M355" i="1"/>
  <c r="L355" i="1"/>
  <c r="K355" i="1"/>
  <c r="J355" i="1"/>
  <c r="G355" i="1"/>
  <c r="E355" i="1"/>
  <c r="D355" i="1"/>
  <c r="N346" i="1"/>
  <c r="M346" i="1"/>
  <c r="L346" i="1"/>
  <c r="K346" i="1"/>
  <c r="J346" i="1"/>
  <c r="G346" i="1"/>
  <c r="E346" i="1"/>
  <c r="D346" i="1"/>
  <c r="M303" i="1"/>
  <c r="L303" i="1"/>
  <c r="K303" i="1"/>
  <c r="J303" i="1"/>
  <c r="G303" i="1"/>
  <c r="E303" i="1"/>
  <c r="D303" i="1"/>
  <c r="M286" i="1"/>
  <c r="L286" i="1"/>
  <c r="K286" i="1"/>
  <c r="J286" i="1"/>
  <c r="G286" i="1"/>
  <c r="E286" i="1"/>
  <c r="D286" i="1"/>
  <c r="M271" i="1"/>
  <c r="L271" i="1"/>
  <c r="K271" i="1"/>
  <c r="J271" i="1"/>
  <c r="G271" i="1"/>
  <c r="E271" i="1"/>
  <c r="D271" i="1"/>
  <c r="M236" i="1"/>
  <c r="L236" i="1"/>
  <c r="K236" i="1"/>
  <c r="J236" i="1"/>
  <c r="G236" i="1"/>
  <c r="E236" i="1"/>
  <c r="D236" i="1"/>
  <c r="M205" i="1"/>
  <c r="L205" i="1"/>
  <c r="K205" i="1"/>
  <c r="J205" i="1"/>
  <c r="G205" i="1"/>
  <c r="E205" i="1"/>
  <c r="D205" i="1"/>
  <c r="M185" i="1"/>
  <c r="L185" i="1"/>
  <c r="K185" i="1"/>
  <c r="J185" i="1"/>
  <c r="G185" i="1"/>
  <c r="E185" i="1"/>
  <c r="D185" i="1"/>
  <c r="M174" i="1"/>
  <c r="L174" i="1"/>
  <c r="K174" i="1"/>
  <c r="J174" i="1"/>
  <c r="G174" i="1"/>
  <c r="E174" i="1"/>
  <c r="D174" i="1"/>
  <c r="M137" i="1"/>
  <c r="L137" i="1"/>
  <c r="K137" i="1"/>
  <c r="J137" i="1"/>
  <c r="G137" i="1"/>
  <c r="E137" i="1"/>
  <c r="D137" i="1"/>
  <c r="M106" i="1"/>
  <c r="L106" i="1"/>
  <c r="K106" i="1"/>
  <c r="J106" i="1"/>
  <c r="G106" i="1"/>
  <c r="E106" i="1"/>
  <c r="D106" i="1"/>
  <c r="M90" i="1"/>
  <c r="L90" i="1"/>
  <c r="K90" i="1"/>
  <c r="J90" i="1"/>
  <c r="G90" i="1"/>
  <c r="E90" i="1"/>
  <c r="D90" i="1"/>
  <c r="M72" i="1"/>
  <c r="L72" i="1"/>
  <c r="K72" i="1"/>
  <c r="J72" i="1"/>
  <c r="G72" i="1"/>
  <c r="E72" i="1"/>
  <c r="D72" i="1"/>
  <c r="M51" i="1"/>
  <c r="L51" i="1"/>
  <c r="K51" i="1"/>
  <c r="J51" i="1"/>
  <c r="G51" i="1"/>
  <c r="E51" i="1"/>
  <c r="M35" i="1"/>
  <c r="L35" i="1"/>
  <c r="K35" i="1"/>
  <c r="G35" i="1"/>
  <c r="E35" i="1"/>
  <c r="D35" i="1"/>
  <c r="M20" i="1"/>
  <c r="L20" i="1"/>
  <c r="K20" i="1"/>
  <c r="J20" i="1"/>
  <c r="G20" i="1"/>
  <c r="E20" i="1"/>
  <c r="F35" i="1" l="1"/>
  <c r="F72" i="1"/>
  <c r="F90" i="1"/>
  <c r="F106" i="1"/>
  <c r="F185" i="1"/>
  <c r="F271" i="1"/>
  <c r="F286" i="1"/>
  <c r="F303" i="1"/>
  <c r="F346" i="1"/>
  <c r="F355" i="1"/>
  <c r="F383" i="1"/>
  <c r="H35" i="1"/>
  <c r="H185" i="1"/>
  <c r="N20" i="1"/>
  <c r="N35" i="1"/>
  <c r="N51" i="1"/>
  <c r="N72" i="1"/>
  <c r="N90" i="1"/>
  <c r="N106" i="1"/>
  <c r="N205" i="1"/>
  <c r="N236" i="1"/>
  <c r="N271" i="1"/>
  <c r="N286" i="1"/>
  <c r="N303" i="1"/>
  <c r="N646" i="1"/>
  <c r="F632" i="1"/>
  <c r="F646" i="1"/>
  <c r="F561" i="1"/>
  <c r="F576" i="1"/>
  <c r="F592" i="1"/>
  <c r="F612" i="1"/>
  <c r="F530" i="1"/>
  <c r="F490" i="1"/>
  <c r="F503" i="1"/>
  <c r="H383" i="1"/>
  <c r="F421" i="1"/>
  <c r="H346" i="1"/>
  <c r="H355" i="1"/>
  <c r="H271" i="1"/>
  <c r="H286" i="1"/>
  <c r="F236" i="1"/>
  <c r="H72" i="1"/>
  <c r="H90" i="1"/>
  <c r="H106" i="1"/>
  <c r="F137" i="1"/>
  <c r="F174" i="1"/>
  <c r="F205" i="1"/>
  <c r="H174" i="1"/>
  <c r="H205" i="1"/>
  <c r="H421" i="1"/>
  <c r="H490" i="1"/>
  <c r="H503" i="1"/>
  <c r="H530" i="1"/>
  <c r="H561" i="1"/>
  <c r="H576" i="1"/>
  <c r="H592" i="1"/>
  <c r="H612" i="1"/>
  <c r="H646" i="1"/>
  <c r="H692" i="1"/>
  <c r="H702" i="1"/>
  <c r="N185" i="1"/>
  <c r="N755" i="1"/>
  <c r="H671" i="1"/>
  <c r="H632" i="1"/>
  <c r="H303" i="1"/>
  <c r="H137" i="1"/>
  <c r="D44" i="1"/>
  <c r="F44" i="1" l="1"/>
  <c r="H44" i="1"/>
  <c r="I35" i="1"/>
  <c r="D51" i="1"/>
  <c r="F51" i="1"/>
  <c r="I44" i="1" l="1"/>
  <c r="H51" i="1"/>
  <c r="N137" i="1"/>
  <c r="N702" i="1" l="1"/>
  <c r="N632" i="1"/>
  <c r="N455" i="1"/>
  <c r="N421" i="1"/>
  <c r="H236" i="1"/>
  <c r="M422" i="1" l="1"/>
  <c r="N174" i="1"/>
  <c r="M237" i="1" s="1"/>
  <c r="I692" i="1"/>
  <c r="I702" i="1"/>
  <c r="I714" i="1"/>
  <c r="I728" i="1"/>
  <c r="I736" i="1"/>
  <c r="I745" i="1"/>
  <c r="I755" i="1"/>
  <c r="I671" i="1" l="1"/>
  <c r="I646" i="1"/>
  <c r="I632" i="1"/>
  <c r="I612" i="1"/>
  <c r="I592" i="1"/>
  <c r="I576" i="1"/>
  <c r="I561" i="1"/>
  <c r="I530" i="1"/>
  <c r="I503" i="1"/>
  <c r="I490" i="1"/>
  <c r="I455" i="1"/>
  <c r="I421" i="1"/>
  <c r="I383" i="1"/>
  <c r="I355" i="1"/>
  <c r="I346" i="1"/>
  <c r="I303" i="1"/>
  <c r="I286" i="1"/>
  <c r="I271" i="1"/>
  <c r="I236" i="1"/>
  <c r="I205" i="1"/>
  <c r="I185" i="1"/>
  <c r="I174" i="1"/>
  <c r="I137" i="1"/>
  <c r="I106" i="1"/>
  <c r="I90" i="1"/>
  <c r="I72" i="1"/>
  <c r="I51" i="1"/>
  <c r="F5" i="1" l="1"/>
  <c r="I5" i="1" l="1"/>
  <c r="M50" i="5"/>
  <c r="M672" i="1" l="1"/>
  <c r="N304" i="1" l="1"/>
  <c r="M504" i="1"/>
  <c r="D18" i="1" l="1"/>
  <c r="H18" i="1" l="1"/>
  <c r="F18" i="1"/>
  <c r="I18" i="1" s="1"/>
  <c r="D20" i="1"/>
  <c r="F20" i="1" l="1"/>
  <c r="H20" i="1"/>
  <c r="I20" i="1"/>
  <c r="B29" i="5" l="1"/>
  <c r="L29" i="5"/>
  <c r="K29" i="5"/>
  <c r="J29" i="5"/>
  <c r="I29" i="5"/>
  <c r="F29" i="5"/>
  <c r="D29" i="5"/>
  <c r="C29" i="5"/>
  <c r="E29" i="5" l="1"/>
  <c r="G29" i="5"/>
  <c r="M29" i="5"/>
  <c r="H29" i="5" l="1"/>
  <c r="M4" i="5" l="1"/>
  <c r="B34" i="5" l="1"/>
  <c r="L34" i="5" l="1"/>
  <c r="K34" i="5"/>
  <c r="J34" i="5"/>
  <c r="I34" i="5"/>
  <c r="F34" i="5"/>
  <c r="D34" i="5"/>
  <c r="C34" i="5"/>
  <c r="E34" i="5" l="1"/>
  <c r="G34" i="5"/>
  <c r="H34" i="5" l="1"/>
  <c r="M34" i="5" l="1"/>
  <c r="B35" i="5" l="1"/>
  <c r="B33" i="5"/>
  <c r="B32" i="5"/>
  <c r="B31" i="5"/>
  <c r="B30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C4" i="5"/>
  <c r="C5" i="5"/>
  <c r="C6" i="5"/>
  <c r="C7" i="5"/>
  <c r="C8" i="5"/>
  <c r="C9" i="5"/>
  <c r="C10" i="5"/>
  <c r="C11" i="5"/>
  <c r="C12" i="5"/>
  <c r="C13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30" i="5"/>
  <c r="C31" i="5"/>
  <c r="C32" i="5"/>
  <c r="C33" i="5"/>
  <c r="C35" i="5"/>
  <c r="C28" i="5" l="1"/>
  <c r="L25" i="5"/>
  <c r="K25" i="5"/>
  <c r="J25" i="5"/>
  <c r="I25" i="5"/>
  <c r="F25" i="5"/>
  <c r="D25" i="5"/>
  <c r="L24" i="5"/>
  <c r="K24" i="5"/>
  <c r="J24" i="5"/>
  <c r="I24" i="5"/>
  <c r="F24" i="5"/>
  <c r="D24" i="5"/>
  <c r="L23" i="5"/>
  <c r="K23" i="5"/>
  <c r="J23" i="5"/>
  <c r="I23" i="5"/>
  <c r="F23" i="5"/>
  <c r="D23" i="5"/>
  <c r="L16" i="5"/>
  <c r="K16" i="5"/>
  <c r="J16" i="5"/>
  <c r="I16" i="5"/>
  <c r="F16" i="5"/>
  <c r="D16" i="5"/>
  <c r="F15" i="5"/>
  <c r="I10" i="5"/>
  <c r="F10" i="5"/>
  <c r="D10" i="5"/>
  <c r="L7" i="5"/>
  <c r="K7" i="5"/>
  <c r="J7" i="5"/>
  <c r="I7" i="5"/>
  <c r="F7" i="5"/>
  <c r="D7" i="5"/>
  <c r="L5" i="5"/>
  <c r="K5" i="5"/>
  <c r="J5" i="5"/>
  <c r="I5" i="5"/>
  <c r="F5" i="5"/>
  <c r="D5" i="5"/>
  <c r="G25" i="5"/>
  <c r="E25" i="5"/>
  <c r="G24" i="5"/>
  <c r="E24" i="5"/>
  <c r="G23" i="5"/>
  <c r="G16" i="5"/>
  <c r="E16" i="5"/>
  <c r="G5" i="5"/>
  <c r="M5" i="5" l="1"/>
  <c r="E23" i="5"/>
  <c r="G7" i="5"/>
  <c r="E5" i="5"/>
  <c r="E7" i="5"/>
  <c r="I13" i="5"/>
  <c r="L35" i="5"/>
  <c r="K35" i="5"/>
  <c r="J35" i="5"/>
  <c r="I35" i="5"/>
  <c r="F35" i="5"/>
  <c r="D35" i="5"/>
  <c r="G35" i="5"/>
  <c r="L33" i="5"/>
  <c r="K33" i="5"/>
  <c r="J33" i="5"/>
  <c r="I33" i="5"/>
  <c r="F33" i="5"/>
  <c r="D33" i="5"/>
  <c r="L32" i="5"/>
  <c r="K32" i="5"/>
  <c r="J32" i="5"/>
  <c r="I32" i="5"/>
  <c r="F32" i="5"/>
  <c r="D32" i="5"/>
  <c r="L31" i="5"/>
  <c r="K31" i="5"/>
  <c r="J31" i="5"/>
  <c r="I31" i="5"/>
  <c r="F31" i="5"/>
  <c r="D31" i="5"/>
  <c r="L30" i="5"/>
  <c r="K30" i="5"/>
  <c r="J30" i="5"/>
  <c r="I30" i="5"/>
  <c r="F30" i="5"/>
  <c r="D30" i="5"/>
  <c r="G30" i="5"/>
  <c r="E30" i="5"/>
  <c r="G33" i="5" l="1"/>
  <c r="G32" i="5"/>
  <c r="E31" i="5"/>
  <c r="E32" i="5"/>
  <c r="M25" i="5"/>
  <c r="H25" i="5"/>
  <c r="M23" i="5"/>
  <c r="H23" i="5"/>
  <c r="M24" i="5"/>
  <c r="H24" i="5"/>
  <c r="M16" i="5"/>
  <c r="H16" i="5"/>
  <c r="M7" i="5"/>
  <c r="H7" i="5"/>
  <c r="H5" i="5"/>
  <c r="L28" i="5"/>
  <c r="K28" i="5"/>
  <c r="J28" i="5"/>
  <c r="I28" i="5"/>
  <c r="F28" i="5"/>
  <c r="D28" i="5"/>
  <c r="G28" i="5"/>
  <c r="E28" i="5"/>
  <c r="L27" i="5"/>
  <c r="K27" i="5"/>
  <c r="J27" i="5"/>
  <c r="I27" i="5"/>
  <c r="F27" i="5"/>
  <c r="D27" i="5"/>
  <c r="G27" i="5"/>
  <c r="E27" i="5"/>
  <c r="E33" i="5" l="1"/>
  <c r="G31" i="5"/>
  <c r="E35" i="5"/>
  <c r="H33" i="5"/>
  <c r="H35" i="5"/>
  <c r="H31" i="5"/>
  <c r="H32" i="5"/>
  <c r="M35" i="5"/>
  <c r="H30" i="5"/>
  <c r="M30" i="5"/>
  <c r="L26" i="5"/>
  <c r="K26" i="5"/>
  <c r="J26" i="5"/>
  <c r="I26" i="5"/>
  <c r="F26" i="5"/>
  <c r="D26" i="5"/>
  <c r="G26" i="5"/>
  <c r="E26" i="5"/>
  <c r="L22" i="5"/>
  <c r="K22" i="5"/>
  <c r="J22" i="5"/>
  <c r="I22" i="5"/>
  <c r="F22" i="5"/>
  <c r="D22" i="5"/>
  <c r="G22" i="5"/>
  <c r="E22" i="5"/>
  <c r="L21" i="5"/>
  <c r="K21" i="5"/>
  <c r="J21" i="5"/>
  <c r="I21" i="5"/>
  <c r="F21" i="5"/>
  <c r="D21" i="5"/>
  <c r="G21" i="5"/>
  <c r="E21" i="5"/>
  <c r="L20" i="5"/>
  <c r="K20" i="5"/>
  <c r="J20" i="5"/>
  <c r="I20" i="5"/>
  <c r="F20" i="5"/>
  <c r="D20" i="5"/>
  <c r="G20" i="5"/>
  <c r="E20" i="5"/>
  <c r="L19" i="5"/>
  <c r="K19" i="5"/>
  <c r="J19" i="5"/>
  <c r="I19" i="5"/>
  <c r="F19" i="5"/>
  <c r="D19" i="5"/>
  <c r="G19" i="5"/>
  <c r="E19" i="5"/>
  <c r="L18" i="5"/>
  <c r="K18" i="5"/>
  <c r="J18" i="5"/>
  <c r="I18" i="5"/>
  <c r="F18" i="5"/>
  <c r="D18" i="5"/>
  <c r="G18" i="5"/>
  <c r="E18" i="5"/>
  <c r="L17" i="5"/>
  <c r="K17" i="5"/>
  <c r="J17" i="5"/>
  <c r="I17" i="5"/>
  <c r="F17" i="5"/>
  <c r="D17" i="5"/>
  <c r="G17" i="5"/>
  <c r="E17" i="5"/>
  <c r="L15" i="5"/>
  <c r="K15" i="5"/>
  <c r="J15" i="5"/>
  <c r="I15" i="5"/>
  <c r="D15" i="5"/>
  <c r="G15" i="5"/>
  <c r="E15" i="5"/>
  <c r="L14" i="5"/>
  <c r="K14" i="5"/>
  <c r="J14" i="5"/>
  <c r="I14" i="5"/>
  <c r="F14" i="5"/>
  <c r="D14" i="5"/>
  <c r="G14" i="5"/>
  <c r="E14" i="5"/>
  <c r="L13" i="5"/>
  <c r="K13" i="5"/>
  <c r="J13" i="5"/>
  <c r="F13" i="5"/>
  <c r="D13" i="5"/>
  <c r="G13" i="5"/>
  <c r="E13" i="5"/>
  <c r="L12" i="5"/>
  <c r="K12" i="5"/>
  <c r="J12" i="5"/>
  <c r="I12" i="5"/>
  <c r="F12" i="5"/>
  <c r="D12" i="5"/>
  <c r="G12" i="5"/>
  <c r="E12" i="5"/>
  <c r="L11" i="5"/>
  <c r="K11" i="5"/>
  <c r="J11" i="5"/>
  <c r="I11" i="5"/>
  <c r="F11" i="5"/>
  <c r="D11" i="5"/>
  <c r="G11" i="5"/>
  <c r="E11" i="5"/>
  <c r="L10" i="5"/>
  <c r="K10" i="5"/>
  <c r="J10" i="5"/>
  <c r="G10" i="5"/>
  <c r="E10" i="5"/>
  <c r="L9" i="5"/>
  <c r="K9" i="5"/>
  <c r="J9" i="5"/>
  <c r="I9" i="5"/>
  <c r="F9" i="5"/>
  <c r="D9" i="5"/>
  <c r="G9" i="5"/>
  <c r="E9" i="5"/>
  <c r="L8" i="5"/>
  <c r="K8" i="5"/>
  <c r="J8" i="5"/>
  <c r="I8" i="5"/>
  <c r="F8" i="5"/>
  <c r="D8" i="5"/>
  <c r="G8" i="5"/>
  <c r="E8" i="5"/>
  <c r="L6" i="5"/>
  <c r="K6" i="5"/>
  <c r="J6" i="5"/>
  <c r="I6" i="5"/>
  <c r="F6" i="5"/>
  <c r="D6" i="5"/>
  <c r="G6" i="5"/>
  <c r="E6" i="5"/>
  <c r="L4" i="5"/>
  <c r="L37" i="5" s="1"/>
  <c r="K4" i="5"/>
  <c r="J4" i="5"/>
  <c r="I4" i="5"/>
  <c r="G4" i="5"/>
  <c r="F4" i="5"/>
  <c r="D4" i="5"/>
  <c r="J37" i="5" l="1"/>
  <c r="G37" i="5"/>
  <c r="D37" i="5"/>
  <c r="F37" i="5"/>
  <c r="I37" i="5"/>
  <c r="K37" i="5"/>
  <c r="M33" i="5"/>
  <c r="M32" i="5"/>
  <c r="E4" i="5"/>
  <c r="E37" i="5" s="1"/>
  <c r="H28" i="5"/>
  <c r="H27" i="5"/>
  <c r="M27" i="5"/>
  <c r="M31" i="5" l="1"/>
  <c r="M28" i="5"/>
  <c r="M10" i="5"/>
  <c r="H10" i="5"/>
  <c r="H26" i="5"/>
  <c r="M26" i="5"/>
  <c r="H22" i="5"/>
  <c r="M22" i="5"/>
  <c r="H21" i="5"/>
  <c r="M21" i="5"/>
  <c r="H20" i="5"/>
  <c r="M20" i="5"/>
  <c r="H19" i="5"/>
  <c r="M19" i="5"/>
  <c r="H18" i="5"/>
  <c r="M18" i="5"/>
  <c r="H17" i="5"/>
  <c r="M17" i="5"/>
  <c r="H15" i="5"/>
  <c r="M15" i="5"/>
  <c r="H14" i="5"/>
  <c r="M14" i="5"/>
  <c r="H13" i="5"/>
  <c r="M13" i="5"/>
  <c r="H12" i="5"/>
  <c r="M12" i="5"/>
  <c r="H11" i="5"/>
  <c r="M11" i="5"/>
  <c r="H9" i="5"/>
  <c r="M9" i="5"/>
  <c r="H8" i="5"/>
  <c r="M8" i="5"/>
  <c r="H6" i="5"/>
  <c r="M6" i="5"/>
  <c r="M37" i="5" l="1"/>
  <c r="H4" i="5"/>
  <c r="H37" i="5" s="1"/>
  <c r="C14" i="5"/>
  <c r="C37" i="5" s="1"/>
  <c r="M51" i="5" l="1"/>
</calcChain>
</file>

<file path=xl/sharedStrings.xml><?xml version="1.0" encoding="utf-8"?>
<sst xmlns="http://schemas.openxmlformats.org/spreadsheetml/2006/main" count="1788" uniqueCount="468">
  <si>
    <t>Sr. No.</t>
  </si>
  <si>
    <t>NAME</t>
  </si>
  <si>
    <t>DESIGNATION</t>
  </si>
  <si>
    <t>S RATE</t>
  </si>
  <si>
    <t>DAYS</t>
  </si>
  <si>
    <t>AMOUNT</t>
  </si>
  <si>
    <t>HOURS</t>
  </si>
  <si>
    <t>G SALARY</t>
  </si>
  <si>
    <t>ADVANCE</t>
  </si>
  <si>
    <t>LOAN DED.</t>
  </si>
  <si>
    <t>NET PAY</t>
  </si>
  <si>
    <t>TOTAL</t>
  </si>
  <si>
    <t>MUSHTAQ</t>
  </si>
  <si>
    <t>Gate Sup.</t>
  </si>
  <si>
    <t>ISMAIL KHAN</t>
  </si>
  <si>
    <t>S Sup.</t>
  </si>
  <si>
    <t>AHMED KHAN</t>
  </si>
  <si>
    <t>MAJID SHAH</t>
  </si>
  <si>
    <t>M NADEEM</t>
  </si>
  <si>
    <t>MALIK ZAMAN</t>
  </si>
  <si>
    <t>SHAHID HUSSAIN</t>
  </si>
  <si>
    <t>SHEHRAZ</t>
  </si>
  <si>
    <t>IMAM MASJID</t>
  </si>
  <si>
    <t>MAQBOOL</t>
  </si>
  <si>
    <t>S/MAN</t>
  </si>
  <si>
    <t>Office Boy</t>
  </si>
  <si>
    <t>Coal Mun.</t>
  </si>
  <si>
    <t>Admin</t>
  </si>
  <si>
    <t>Stor keper</t>
  </si>
  <si>
    <t>Driver</t>
  </si>
  <si>
    <t>Cook</t>
  </si>
  <si>
    <t>Lab.Asst.</t>
  </si>
  <si>
    <t>01-ADMINISTRAION</t>
  </si>
  <si>
    <t>02- ACCOUNT</t>
  </si>
  <si>
    <t>03-KORA</t>
  </si>
  <si>
    <t>TARIQ SAEED</t>
  </si>
  <si>
    <t>TARIQ JAMIL</t>
  </si>
  <si>
    <t>M AZAM</t>
  </si>
  <si>
    <t>RANA TAJAMAL</t>
  </si>
  <si>
    <t>IRFAN AKHTER</t>
  </si>
  <si>
    <t>AHMED RAZA</t>
  </si>
  <si>
    <t>BILAL</t>
  </si>
  <si>
    <t>ALI RAZA</t>
  </si>
  <si>
    <t>ASIF</t>
  </si>
  <si>
    <t>SOFT WEAR</t>
  </si>
  <si>
    <t>Asist.</t>
  </si>
  <si>
    <t>Manager</t>
  </si>
  <si>
    <t>Accountant</t>
  </si>
  <si>
    <t>Purchser</t>
  </si>
  <si>
    <t>SAJID ALI</t>
  </si>
  <si>
    <t>NISAR</t>
  </si>
  <si>
    <t>RIAZ</t>
  </si>
  <si>
    <t>SAJJAD</t>
  </si>
  <si>
    <t>FAISAL</t>
  </si>
  <si>
    <t>IJAZ</t>
  </si>
  <si>
    <t>FAROOQ</t>
  </si>
  <si>
    <t>Gazanaman</t>
  </si>
  <si>
    <t>Incharge</t>
  </si>
  <si>
    <t>S/Man</t>
  </si>
  <si>
    <t>Mark Man</t>
  </si>
  <si>
    <t>P/Man</t>
  </si>
  <si>
    <t>04-TAYYAR STORE</t>
  </si>
  <si>
    <t>KAMIL</t>
  </si>
  <si>
    <t>SHAFAT ULLAH</t>
  </si>
  <si>
    <t>ISHTIAQ</t>
  </si>
  <si>
    <t>JAMIL</t>
  </si>
  <si>
    <t>ALLAH WASYA</t>
  </si>
  <si>
    <t>ADIL</t>
  </si>
  <si>
    <t>ISHAQ</t>
  </si>
  <si>
    <t>Munshi</t>
  </si>
  <si>
    <t>Loader</t>
  </si>
  <si>
    <t>SHAHKIL</t>
  </si>
  <si>
    <t>SHEHZAD AHMED</t>
  </si>
  <si>
    <t>NAVEED AHMED</t>
  </si>
  <si>
    <t>TAYYAB</t>
  </si>
  <si>
    <t>ABUBAKAR</t>
  </si>
  <si>
    <t>SADAAM</t>
  </si>
  <si>
    <t>HASSAN</t>
  </si>
  <si>
    <t>SHAHBAZ</t>
  </si>
  <si>
    <t>G Opt.</t>
  </si>
  <si>
    <t>Electrition</t>
  </si>
  <si>
    <t>Motor Vinder</t>
  </si>
  <si>
    <t>Helper</t>
  </si>
  <si>
    <t>SALAMAT</t>
  </si>
  <si>
    <t>SAJID</t>
  </si>
  <si>
    <t>IRFAN</t>
  </si>
  <si>
    <t>KASHIF</t>
  </si>
  <si>
    <t>KARAMAT ALI</t>
  </si>
  <si>
    <t>H SHAN ALI</t>
  </si>
  <si>
    <t>AZAM</t>
  </si>
  <si>
    <t>SHEHBAZ HAIDER</t>
  </si>
  <si>
    <t>Welder</t>
  </si>
  <si>
    <t>Fitter</t>
  </si>
  <si>
    <t>Turner</t>
  </si>
  <si>
    <t>M MANSOOR ALAM</t>
  </si>
  <si>
    <t>MOHSIN HAMEED</t>
  </si>
  <si>
    <t>USMAN FAROOQ</t>
  </si>
  <si>
    <t>IT</t>
  </si>
  <si>
    <t>Tracer</t>
  </si>
  <si>
    <t>Designer</t>
  </si>
  <si>
    <t xml:space="preserve">B/M </t>
  </si>
  <si>
    <t>SUPERVISOR</t>
  </si>
  <si>
    <t>K/MAN</t>
  </si>
  <si>
    <t>M MAN</t>
  </si>
  <si>
    <t>LOADER</t>
  </si>
  <si>
    <t>JAVAID</t>
  </si>
  <si>
    <t>M RAFIQUE</t>
  </si>
  <si>
    <t>AHMET ZUBAIR</t>
  </si>
  <si>
    <t>SULIMAN</t>
  </si>
  <si>
    <t>BABAR ALI</t>
  </si>
  <si>
    <t>GHULAM MUSTAFA</t>
  </si>
  <si>
    <t>USMAN</t>
  </si>
  <si>
    <t>HELPER</t>
  </si>
  <si>
    <t>OPT.</t>
  </si>
  <si>
    <t>ASIST.</t>
  </si>
  <si>
    <t>ISHFAQ</t>
  </si>
  <si>
    <t>AMEEN</t>
  </si>
  <si>
    <t>OPERATOR</t>
  </si>
  <si>
    <t>BILAL NAZEER</t>
  </si>
  <si>
    <t>NADEEM</t>
  </si>
  <si>
    <t>AMJAD</t>
  </si>
  <si>
    <t>11-MERCRIZE</t>
  </si>
  <si>
    <t>SOJAN</t>
  </si>
  <si>
    <t>HUAZIFA</t>
  </si>
  <si>
    <t>MOHSIN ALI</t>
  </si>
  <si>
    <t>12-BOUZER</t>
  </si>
  <si>
    <t>13-ENGRAVING</t>
  </si>
  <si>
    <t>14-COLOR</t>
  </si>
  <si>
    <t>H OPT</t>
  </si>
  <si>
    <t>OPT</t>
  </si>
  <si>
    <t>ASIST</t>
  </si>
  <si>
    <t>CHECKER</t>
  </si>
  <si>
    <t>PUMP MAN</t>
  </si>
  <si>
    <t>TAQIQ MEHMOOD</t>
  </si>
  <si>
    <t>RIZWAN</t>
  </si>
  <si>
    <t>SARFRAZ</t>
  </si>
  <si>
    <t>MUSHTAQ AHMED</t>
  </si>
  <si>
    <t>GHULAM MURTAZA</t>
  </si>
  <si>
    <t>SHAHKIL AHMED</t>
  </si>
  <si>
    <t>AMIR</t>
  </si>
  <si>
    <t>DESIGNER</t>
  </si>
  <si>
    <t>EXPOSER</t>
  </si>
  <si>
    <t>IMRAN</t>
  </si>
  <si>
    <t>GHULAM RASOOL</t>
  </si>
  <si>
    <t>NAVEED</t>
  </si>
  <si>
    <t>ALLAH RAKHA</t>
  </si>
  <si>
    <t>ABID</t>
  </si>
  <si>
    <t>MASTER</t>
  </si>
  <si>
    <t>MEHBOOB ALAM</t>
  </si>
  <si>
    <t>APM</t>
  </si>
  <si>
    <t>C MAN</t>
  </si>
  <si>
    <t>MANDI MAN</t>
  </si>
  <si>
    <t>IZHAR UL HAQ</t>
  </si>
  <si>
    <t>ABDUL JABBAR</t>
  </si>
  <si>
    <t>JAN ALAM</t>
  </si>
  <si>
    <t>TAHIR</t>
  </si>
  <si>
    <t>15- SUNTEX</t>
  </si>
  <si>
    <t>F MASTER</t>
  </si>
  <si>
    <t>H OPT.</t>
  </si>
  <si>
    <t>H MAN</t>
  </si>
  <si>
    <t>F MAN</t>
  </si>
  <si>
    <t>S/M</t>
  </si>
  <si>
    <t>ABDUL GHAFFAR</t>
  </si>
  <si>
    <t>LIAQAT</t>
  </si>
  <si>
    <t>EHSAN</t>
  </si>
  <si>
    <t>MANSAB</t>
  </si>
  <si>
    <t>GHULAM ALI</t>
  </si>
  <si>
    <t>ADNAN</t>
  </si>
  <si>
    <t>S MAN</t>
  </si>
  <si>
    <t>DANISH</t>
  </si>
  <si>
    <t>18-AUTO 01</t>
  </si>
  <si>
    <t>19- AUTO 02</t>
  </si>
  <si>
    <t>H MANDI</t>
  </si>
  <si>
    <t>HASSAN RAZA</t>
  </si>
  <si>
    <t>GHULAM HUSSAIN</t>
  </si>
  <si>
    <t>UMEED ALI</t>
  </si>
  <si>
    <t>ZAHID</t>
  </si>
  <si>
    <t>SADAM</t>
  </si>
  <si>
    <t>HANEEF</t>
  </si>
  <si>
    <t>ALI GULL</t>
  </si>
  <si>
    <t>SHAHBIR</t>
  </si>
  <si>
    <t>BARKAT</t>
  </si>
  <si>
    <t>SALEEM</t>
  </si>
  <si>
    <t>FAIZAN SALAMAT</t>
  </si>
  <si>
    <t xml:space="preserve">H OPT. </t>
  </si>
  <si>
    <t>20-CALANDER</t>
  </si>
  <si>
    <t>MOHSIN</t>
  </si>
  <si>
    <t>AHMED BAX</t>
  </si>
  <si>
    <t>AHSEN</t>
  </si>
  <si>
    <t>SAEED NASEER</t>
  </si>
  <si>
    <t>HUSNAIN</t>
  </si>
  <si>
    <t>UBAID UR REHMAN</t>
  </si>
  <si>
    <t>21-SOOPER</t>
  </si>
  <si>
    <t>ABID HUSSAIN</t>
  </si>
  <si>
    <t>SAIF ULLAH</t>
  </si>
  <si>
    <t>YOUSAF</t>
  </si>
  <si>
    <t>AMEEN BASHIR</t>
  </si>
  <si>
    <t>SHAKEEB</t>
  </si>
  <si>
    <t>TARIQ</t>
  </si>
  <si>
    <t>WAQAS</t>
  </si>
  <si>
    <t xml:space="preserve">ALI </t>
  </si>
  <si>
    <t>ZAHEER</t>
  </si>
  <si>
    <t>NAEEM</t>
  </si>
  <si>
    <t>QAISER</t>
  </si>
  <si>
    <t>MEHMOOD</t>
  </si>
  <si>
    <t>AJAB KHAN</t>
  </si>
  <si>
    <t>SABAR REHMAN</t>
  </si>
  <si>
    <t>ZAIN UL ABEEDEEN</t>
  </si>
  <si>
    <t>COLOR MAN</t>
  </si>
  <si>
    <t>NUMAN SHAH</t>
  </si>
  <si>
    <t xml:space="preserve">QASIM </t>
  </si>
  <si>
    <t>AHMAD SHAH</t>
  </si>
  <si>
    <t>ADBDUL RAZAQ</t>
  </si>
  <si>
    <t>ZOHAIB</t>
  </si>
  <si>
    <t>IMTIAZ</t>
  </si>
  <si>
    <t>MUNAWAR</t>
  </si>
  <si>
    <t>SAMI ULLAH</t>
  </si>
  <si>
    <t>MATLOOB</t>
  </si>
  <si>
    <t>AMIR RAZA</t>
  </si>
  <si>
    <t>HOUSE RENT</t>
  </si>
  <si>
    <t>INCHARGE</t>
  </si>
  <si>
    <t>ENG.</t>
  </si>
  <si>
    <t>PPC.</t>
  </si>
  <si>
    <t>ASIST. PPC</t>
  </si>
  <si>
    <t>SHIF INCHARG</t>
  </si>
  <si>
    <t>NAUMAN</t>
  </si>
  <si>
    <t>SAEED MEHMOOD</t>
  </si>
  <si>
    <t>NAEEM LIAQAT</t>
  </si>
  <si>
    <t>M WASEEM YASINE</t>
  </si>
  <si>
    <t>HUNNAIN ANWER</t>
  </si>
  <si>
    <t>M HUSSAIN</t>
  </si>
  <si>
    <t>AHMED</t>
  </si>
  <si>
    <t>ASIST OPT.</t>
  </si>
  <si>
    <t>AQIB</t>
  </si>
  <si>
    <t>HUMZA AKRAM</t>
  </si>
  <si>
    <t>ATIF ARSHAD</t>
  </si>
  <si>
    <t>RANA PHOOL</t>
  </si>
  <si>
    <t>KALEEM ULLAH</t>
  </si>
  <si>
    <t>SWEEPER</t>
  </si>
  <si>
    <t>ABU SUFFIAN</t>
  </si>
  <si>
    <t>STEAM BOILER</t>
  </si>
  <si>
    <t>OIL BOILER</t>
  </si>
  <si>
    <t>ANWAR SB.</t>
  </si>
  <si>
    <t>YASINE</t>
  </si>
  <si>
    <t>SAJIN</t>
  </si>
  <si>
    <t>MASJID</t>
  </si>
  <si>
    <t>MAJID KHAN</t>
  </si>
  <si>
    <t>DEPARTMENT</t>
  </si>
  <si>
    <t>FASHEE MADNI</t>
  </si>
  <si>
    <t>REHAN</t>
  </si>
  <si>
    <t>ASAD</t>
  </si>
  <si>
    <t>SOHAIL SADIQ</t>
  </si>
  <si>
    <t>IRAJ</t>
  </si>
  <si>
    <t>HAMID KHAN</t>
  </si>
  <si>
    <t>UMER AZAZ</t>
  </si>
  <si>
    <t>NIYAZ</t>
  </si>
  <si>
    <t>ZAFAR</t>
  </si>
  <si>
    <t>17- DIGITAL MANDI MAN</t>
  </si>
  <si>
    <t>05-ELECTRIC</t>
  </si>
  <si>
    <t>06-WORK SHOP</t>
  </si>
  <si>
    <t>07-CREATION</t>
  </si>
  <si>
    <t>08-KARE</t>
  </si>
  <si>
    <t>09-SINGING</t>
  </si>
  <si>
    <t>10-KARA DRAWING</t>
  </si>
  <si>
    <t>22-VENCH</t>
  </si>
  <si>
    <t>23- AGER MACHINE</t>
  </si>
  <si>
    <t>24- JIGGER DYEING</t>
  </si>
  <si>
    <t>25- JIGER DRAWING</t>
  </si>
  <si>
    <t>26- DIGITAL MACHINE</t>
  </si>
  <si>
    <t>VISHAL</t>
  </si>
  <si>
    <t>UMAIR</t>
  </si>
  <si>
    <t>JAVAID BASHIR</t>
  </si>
  <si>
    <t>UZAIR AHMED</t>
  </si>
  <si>
    <t>GHULAM FAREED</t>
  </si>
  <si>
    <t>AHAD</t>
  </si>
  <si>
    <t>MANZAR ABBAS</t>
  </si>
  <si>
    <t>UMER TARIQ</t>
  </si>
  <si>
    <t>KHURAM</t>
  </si>
  <si>
    <t>MUHAMMAD KHALIL</t>
  </si>
  <si>
    <t xml:space="preserve"> G S 54</t>
  </si>
  <si>
    <t>TOQEER</t>
  </si>
  <si>
    <t>IKHTYAR</t>
  </si>
  <si>
    <t>ABID SULTAN</t>
  </si>
  <si>
    <t>IKRAM</t>
  </si>
  <si>
    <t>SHAHBIR HUSSAIN</t>
  </si>
  <si>
    <t>MARIUM SHOUKAT</t>
  </si>
  <si>
    <t>UMER NADEEM</t>
  </si>
  <si>
    <t>UMER HAYAT</t>
  </si>
  <si>
    <t>Production</t>
  </si>
  <si>
    <t>IRSA</t>
  </si>
  <si>
    <t>JAN ALI</t>
  </si>
  <si>
    <t>ASHRAF</t>
  </si>
  <si>
    <t>SHEHROOZ KHAN</t>
  </si>
  <si>
    <t>JUNAID</t>
  </si>
  <si>
    <t>WASEEM SADIQ</t>
  </si>
  <si>
    <t>DANIYAL</t>
  </si>
  <si>
    <t>M SHAHID</t>
  </si>
  <si>
    <t>M ABU BAKAR</t>
  </si>
  <si>
    <t>SHEHROZ YASINE</t>
  </si>
  <si>
    <t>MATLOOB ALI</t>
  </si>
  <si>
    <t>ZUBAIR RIAZ</t>
  </si>
  <si>
    <t>BASHIR AHMED</t>
  </si>
  <si>
    <t>HASEEB</t>
  </si>
  <si>
    <t>M ZUZBAIR</t>
  </si>
  <si>
    <t xml:space="preserve">AZEEM </t>
  </si>
  <si>
    <t>28- BOILER</t>
  </si>
  <si>
    <t>27- PPC</t>
  </si>
  <si>
    <t>29-GM</t>
  </si>
  <si>
    <t>30-FOLDING</t>
  </si>
  <si>
    <t>31-YASINE CP</t>
  </si>
  <si>
    <t>32- ZAFAR NUG PACKING</t>
  </si>
  <si>
    <t>33-SWEEPERS</t>
  </si>
  <si>
    <t>MUZAFAR ALI</t>
  </si>
  <si>
    <t>MUZAFAR</t>
  </si>
  <si>
    <t>ABUSUFIAN</t>
  </si>
  <si>
    <t>M ZAHOOR</t>
  </si>
  <si>
    <t>ABDULLAH</t>
  </si>
  <si>
    <t>HUSSAN ALI</t>
  </si>
  <si>
    <t>SHAIQ</t>
  </si>
  <si>
    <t>S/G</t>
  </si>
  <si>
    <t>MUZAMIL</t>
  </si>
  <si>
    <t>M ISMAIL</t>
  </si>
  <si>
    <t>FAREED BUX</t>
  </si>
  <si>
    <t>ARIF</t>
  </si>
  <si>
    <t>NSIR</t>
  </si>
  <si>
    <t>FAHAD SAMEER</t>
  </si>
  <si>
    <t>M DAWOOD</t>
  </si>
  <si>
    <t>ALI AKBAR</t>
  </si>
  <si>
    <t>RAMZAN</t>
  </si>
  <si>
    <t>FIYAZ</t>
  </si>
  <si>
    <t>ADIL MAQBOOL</t>
  </si>
  <si>
    <t>JALIL AHMED</t>
  </si>
  <si>
    <t>SUNNY WAQAR</t>
  </si>
  <si>
    <t>SHEHBAZ SHAH</t>
  </si>
  <si>
    <t>IFRAHIM</t>
  </si>
  <si>
    <t>AQEEL</t>
  </si>
  <si>
    <t xml:space="preserve">USMAN  </t>
  </si>
  <si>
    <t>ARSLAN</t>
  </si>
  <si>
    <t>NASEER HUSSAIN</t>
  </si>
  <si>
    <t>ALLAH DITTA</t>
  </si>
  <si>
    <t>HUZAIFA</t>
  </si>
  <si>
    <t>ALEEM ISHFAQ</t>
  </si>
  <si>
    <t>SHEHBAZ</t>
  </si>
  <si>
    <t>SARWAR</t>
  </si>
  <si>
    <t>RESIGNED</t>
  </si>
  <si>
    <t>VAJIHA</t>
  </si>
  <si>
    <t>YOUNAS</t>
  </si>
  <si>
    <t>MALIK MEHMOOD</t>
  </si>
  <si>
    <t>MUQADAS</t>
  </si>
  <si>
    <t>SHAHBIR AHMED</t>
  </si>
  <si>
    <t>HASEEB UR REHMAN</t>
  </si>
  <si>
    <t>INCHARG</t>
  </si>
  <si>
    <t xml:space="preserve">IMRAN </t>
  </si>
  <si>
    <t>ALI MURAD</t>
  </si>
  <si>
    <t>M IQBAL</t>
  </si>
  <si>
    <t>EHSAN ULLAH</t>
  </si>
  <si>
    <t>SOHAIL</t>
  </si>
  <si>
    <t>SHOAIB</t>
  </si>
  <si>
    <t>ACM</t>
  </si>
  <si>
    <t>M ASAD</t>
  </si>
  <si>
    <t>ABDUR RAHMEEM</t>
  </si>
  <si>
    <t>ABDUR REHMAN</t>
  </si>
  <si>
    <t>ABDUR RAZAQ</t>
  </si>
  <si>
    <t>KAFEEL KHAN</t>
  </si>
  <si>
    <t>KHALID REHMAN</t>
  </si>
  <si>
    <t>ASIM KHAN</t>
  </si>
  <si>
    <t>ISMAIL</t>
  </si>
  <si>
    <t>MAJEED</t>
  </si>
  <si>
    <t>YAQOOB</t>
  </si>
  <si>
    <t>ALI ASLAM</t>
  </si>
  <si>
    <t>ARYAN ALI</t>
  </si>
  <si>
    <t>RAFAQAT</t>
  </si>
  <si>
    <t>ZEESHAN</t>
  </si>
  <si>
    <t>KASHIF JAVAID</t>
  </si>
  <si>
    <t>RASHID</t>
  </si>
  <si>
    <t>ZAIN</t>
  </si>
  <si>
    <t>RAZA ULLAH</t>
  </si>
  <si>
    <t>NASIR</t>
  </si>
  <si>
    <t>S/MAM</t>
  </si>
  <si>
    <t>ZAKIR</t>
  </si>
  <si>
    <t>RANA SB.</t>
  </si>
  <si>
    <t>ADEEL MAJEED</t>
  </si>
  <si>
    <t>NASEER AHMED</t>
  </si>
  <si>
    <t>SALMAN ALI</t>
  </si>
  <si>
    <t>WAJID HUSSAIN</t>
  </si>
  <si>
    <t>REHMAT ULLAH</t>
  </si>
  <si>
    <t>ZAHOOR</t>
  </si>
  <si>
    <t>MUJAHID</t>
  </si>
  <si>
    <t>KAIR ULLAH</t>
  </si>
  <si>
    <t>IBRAR</t>
  </si>
  <si>
    <t>ABDUL SABOOR</t>
  </si>
  <si>
    <t>ABDUL BASEER</t>
  </si>
  <si>
    <t>ASAD FIRDOOS</t>
  </si>
  <si>
    <t>UMER FAROOQ</t>
  </si>
  <si>
    <t>MAQSOOD</t>
  </si>
  <si>
    <t xml:space="preserve">TAYAB </t>
  </si>
  <si>
    <t>AKBAR</t>
  </si>
  <si>
    <t>NAEEM KHAN</t>
  </si>
  <si>
    <t>SAEED AHMED</t>
  </si>
  <si>
    <t>UMAIR HAYAT</t>
  </si>
  <si>
    <t>AWAIS RAZA</t>
  </si>
  <si>
    <t>AMIR SAEED</t>
  </si>
  <si>
    <t>HASEEB ULLAH</t>
  </si>
  <si>
    <t>IMTIAZ AHMED</t>
  </si>
  <si>
    <t>ALI HUSSAN</t>
  </si>
  <si>
    <t>SAD KHAN</t>
  </si>
  <si>
    <t>RANA HUSSAIN</t>
  </si>
  <si>
    <t>HUMZA</t>
  </si>
  <si>
    <t>ZAMEER</t>
  </si>
  <si>
    <t>EHTSHAM</t>
  </si>
  <si>
    <t>IQBAL ANWAR</t>
  </si>
  <si>
    <t>BARKI</t>
  </si>
  <si>
    <t>UMER MANSAB</t>
  </si>
  <si>
    <t>ASIM ALI</t>
  </si>
  <si>
    <t>NOOR ZAINAB</t>
  </si>
  <si>
    <t>SHAH ZAIB</t>
  </si>
  <si>
    <t>WASEEM SAJJAD</t>
  </si>
  <si>
    <t>QAMAR ZAMAN</t>
  </si>
  <si>
    <t>CHAMAN</t>
  </si>
  <si>
    <t>HIZBULLHA</t>
  </si>
  <si>
    <t>QAMAR ULLAH</t>
  </si>
  <si>
    <t>MUNIR AHMED</t>
  </si>
  <si>
    <t>GULZAR</t>
  </si>
  <si>
    <t>HUSSAN ABDULLAH</t>
  </si>
  <si>
    <t>SUBHAN</t>
  </si>
  <si>
    <t xml:space="preserve">Asist. </t>
  </si>
  <si>
    <t>SANA ULLAH</t>
  </si>
  <si>
    <t>ABDUL SAMAD</t>
  </si>
  <si>
    <t>JAMSHAID</t>
  </si>
  <si>
    <t>M QAISER</t>
  </si>
  <si>
    <t>ALI SHAHN</t>
  </si>
  <si>
    <t>WAZEER</t>
  </si>
  <si>
    <t>IMDAD</t>
  </si>
  <si>
    <t>ABDUL MAJEED</t>
  </si>
  <si>
    <t>SAFEEL</t>
  </si>
  <si>
    <t xml:space="preserve">ARBAZ </t>
  </si>
  <si>
    <t>ABDUL NABI</t>
  </si>
  <si>
    <t>GULL AMEEN</t>
  </si>
  <si>
    <t>IYAZ ALI</t>
  </si>
  <si>
    <t>HAMMAD</t>
  </si>
  <si>
    <t>FIDA HUSSAIN</t>
  </si>
  <si>
    <t>GULL HAYAT</t>
  </si>
  <si>
    <t>MUBASHIR</t>
  </si>
  <si>
    <t>SHAKIR</t>
  </si>
  <si>
    <t>SYED SHOAIB</t>
  </si>
  <si>
    <t>ASAD PERWAIZ</t>
  </si>
  <si>
    <t>M NAVEED</t>
  </si>
  <si>
    <t>AZHAR HAYYAT</t>
  </si>
  <si>
    <t>M JAVEED</t>
  </si>
  <si>
    <t>ADVANDE FOR THE MONTH OF AUGUST 2026</t>
  </si>
  <si>
    <t>12 Hour duty + holiday over time(Sunday ect.)</t>
  </si>
  <si>
    <t>12 Hour duty + No extra days</t>
  </si>
  <si>
    <t>NO Time Limit</t>
  </si>
  <si>
    <t>No in out Fixed</t>
  </si>
  <si>
    <t>8 Hours Duty + Over time</t>
  </si>
  <si>
    <t>8 Hours Duty and no over time</t>
  </si>
  <si>
    <t xml:space="preserve">8 Hours Duty </t>
  </si>
  <si>
    <t>Fixed Salary no Attendece Required</t>
  </si>
  <si>
    <t>8 Hours Duty and no limit duty</t>
  </si>
  <si>
    <t>Contractor Fix Monthly</t>
  </si>
  <si>
    <t>No Time Limit</t>
  </si>
  <si>
    <t>12 Hours and No Time Limit</t>
  </si>
  <si>
    <t>8 Hours Duty Sunday Adjust in Leave</t>
  </si>
  <si>
    <t>12 Hours and No Time Limit and Sunday Adjust in Leave if Present</t>
  </si>
  <si>
    <t>fixed Amount</t>
  </si>
  <si>
    <t>8 Hour duty + holiday over time(Sunday ect.)</t>
  </si>
  <si>
    <t>08 Hours Duty + no time limit</t>
  </si>
  <si>
    <t>SUITE 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</si>
</sst>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4" xfId="0" applyFont="1" applyBorder="1"/>
    <xf numFmtId="164" fontId="0" fillId="0" borderId="2" xfId="1" applyNumberFormat="1" applyFont="1" applyBorder="1"/>
    <xf numFmtId="164" fontId="0" fillId="0" borderId="1" xfId="1" applyNumberFormat="1" applyFont="1" applyBorder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1" xfId="1" applyNumberFormat="1" applyFont="1" applyBorder="1"/>
    <xf numFmtId="0" fontId="0" fillId="2" borderId="1" xfId="0" applyFill="1" applyBorder="1"/>
    <xf numFmtId="0" fontId="0" fillId="2" borderId="0" xfId="0" applyFill="1"/>
    <xf numFmtId="0" fontId="2" fillId="2" borderId="5" xfId="0" applyFont="1" applyFill="1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164" fontId="2" fillId="0" borderId="0" xfId="0" applyNumberFormat="1" applyFont="1" applyBorder="1"/>
    <xf numFmtId="164" fontId="0" fillId="2" borderId="10" xfId="1" applyNumberFormat="1" applyFont="1" applyFill="1" applyBorder="1"/>
    <xf numFmtId="164" fontId="0" fillId="2" borderId="12" xfId="1" applyNumberFormat="1" applyFont="1" applyFill="1" applyBorder="1"/>
    <xf numFmtId="164" fontId="2" fillId="2" borderId="4" xfId="0" applyNumberFormat="1" applyFont="1" applyFill="1" applyBorder="1"/>
    <xf numFmtId="164" fontId="2" fillId="2" borderId="0" xfId="0" applyNumberFormat="1" applyFont="1" applyFill="1" applyBorder="1"/>
    <xf numFmtId="164" fontId="2" fillId="2" borderId="0" xfId="0" applyNumberFormat="1" applyFont="1" applyFill="1"/>
    <xf numFmtId="164" fontId="0" fillId="2" borderId="0" xfId="0" applyNumberFormat="1" applyFill="1"/>
    <xf numFmtId="0" fontId="0" fillId="0" borderId="14" xfId="0" applyBorder="1" applyAlignment="1">
      <alignment horizontal="center"/>
    </xf>
    <xf numFmtId="0" fontId="0" fillId="0" borderId="15" xfId="0" applyBorder="1"/>
    <xf numFmtId="164" fontId="0" fillId="0" borderId="15" xfId="1" applyNumberFormat="1" applyFont="1" applyBorder="1"/>
    <xf numFmtId="164" fontId="2" fillId="0" borderId="0" xfId="0" applyNumberFormat="1" applyFont="1" applyBorder="1" applyAlignment="1">
      <alignment horizontal="center"/>
    </xf>
    <xf numFmtId="164" fontId="2" fillId="0" borderId="0" xfId="0" applyNumberFormat="1" applyFont="1"/>
    <xf numFmtId="0" fontId="2" fillId="0" borderId="4" xfId="0" applyFont="1" applyBorder="1" applyAlignment="1">
      <alignment horizontal="center"/>
    </xf>
    <xf numFmtId="17" fontId="0" fillId="0" borderId="0" xfId="0" applyNumberFormat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0" fontId="4" fillId="0" borderId="2" xfId="0" applyFont="1" applyBorder="1"/>
    <xf numFmtId="0" fontId="4" fillId="0" borderId="1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0" fillId="0" borderId="13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>
      <selection activeCell="L4" sqref="L4"/>
    </sheetView>
  </sheetViews>
  <sheetFormatPr defaultRowHeight="15" x14ac:dyDescent="0.25"/>
  <cols>
    <col min="1" max="1" width="10" bestFit="1" customWidth="1"/>
    <col min="2" max="2" width="23.28515625" bestFit="1" customWidth="1"/>
    <col min="3" max="3" width="11.5703125" customWidth="1"/>
    <col min="4" max="4" width="8" customWidth="1"/>
    <col min="5" max="5" width="11.5703125" customWidth="1"/>
    <col min="6" max="6" width="8" customWidth="1"/>
    <col min="7" max="7" width="10.5703125" customWidth="1"/>
    <col min="8" max="9" width="11.5703125" customWidth="1"/>
    <col min="10" max="11" width="10.5703125" customWidth="1"/>
    <col min="12" max="12" width="9" customWidth="1"/>
    <col min="13" max="13" width="11.5703125" style="17" customWidth="1"/>
  </cols>
  <sheetData>
    <row r="1" spans="1:13" ht="34.5" thickBot="1" x14ac:dyDescent="0.55000000000000004">
      <c r="A1" s="46" t="s">
        <v>449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15.75" thickBot="1" x14ac:dyDescent="0.3"/>
    <row r="3" spans="1:13" ht="15.75" thickBot="1" x14ac:dyDescent="0.3">
      <c r="A3" s="9" t="s">
        <v>0</v>
      </c>
      <c r="B3" s="3" t="s">
        <v>247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5</v>
      </c>
      <c r="H3" s="3" t="s">
        <v>7</v>
      </c>
      <c r="I3" s="3" t="s">
        <v>8</v>
      </c>
      <c r="J3" s="3" t="s">
        <v>8</v>
      </c>
      <c r="K3" s="3" t="s">
        <v>9</v>
      </c>
      <c r="L3" s="3" t="s">
        <v>467</v>
      </c>
      <c r="M3" s="18" t="s">
        <v>10</v>
      </c>
    </row>
    <row r="4" spans="1:13" x14ac:dyDescent="0.25">
      <c r="A4" s="19">
        <v>1</v>
      </c>
      <c r="B4" s="2" t="str">
        <f>+Sheet1!C3</f>
        <v>01-ADMINISTRAION</v>
      </c>
      <c r="C4" s="4">
        <f>+Sheet1!D20</f>
        <v>558955</v>
      </c>
      <c r="D4" s="4">
        <f>+Sheet1!E20</f>
        <v>0</v>
      </c>
      <c r="E4" s="4">
        <f>+Sheet1!F20</f>
        <v>0</v>
      </c>
      <c r="F4" s="4">
        <f>+Sheet1!G20</f>
        <v>0</v>
      </c>
      <c r="G4" s="4">
        <f>+Sheet1!H20</f>
        <v>0</v>
      </c>
      <c r="H4" s="4">
        <f>+Sheet1!I20</f>
        <v>0</v>
      </c>
      <c r="I4" s="4">
        <f>+Sheet1!J20</f>
        <v>0</v>
      </c>
      <c r="J4" s="4">
        <f>+Sheet1!K20</f>
        <v>0</v>
      </c>
      <c r="K4" s="4">
        <f>+Sheet1!L20</f>
        <v>0</v>
      </c>
      <c r="L4" s="4">
        <f>+Sheet1!M20</f>
        <v>0</v>
      </c>
      <c r="M4" s="24">
        <f>+Sheet1!N20</f>
        <v>0</v>
      </c>
    </row>
    <row r="5" spans="1:13" x14ac:dyDescent="0.25">
      <c r="A5" s="20">
        <v>2</v>
      </c>
      <c r="B5" s="1" t="str">
        <f>+Sheet1!C23</f>
        <v>02- ACCOUNT</v>
      </c>
      <c r="C5" s="4">
        <f>+Sheet1!D35</f>
        <v>685799</v>
      </c>
      <c r="D5" s="4">
        <f>+Sheet1!E35</f>
        <v>0</v>
      </c>
      <c r="E5" s="4">
        <f>+Sheet1!F35</f>
        <v>0</v>
      </c>
      <c r="F5" s="4">
        <f>+Sheet1!G35</f>
        <v>0</v>
      </c>
      <c r="G5" s="4">
        <f>+Sheet1!H35</f>
        <v>0</v>
      </c>
      <c r="H5" s="4">
        <f>+Sheet1!I35</f>
        <v>0</v>
      </c>
      <c r="I5" s="4">
        <f>+Sheet1!J35</f>
        <v>0</v>
      </c>
      <c r="J5" s="4">
        <f>+Sheet1!K35</f>
        <v>0</v>
      </c>
      <c r="K5" s="4">
        <f>+Sheet1!L35</f>
        <v>0</v>
      </c>
      <c r="L5" s="4">
        <f>+Sheet1!M35</f>
        <v>0</v>
      </c>
      <c r="M5" s="24">
        <f>+Sheet1!N35</f>
        <v>0</v>
      </c>
    </row>
    <row r="6" spans="1:13" x14ac:dyDescent="0.25">
      <c r="A6" s="19">
        <v>3</v>
      </c>
      <c r="B6" s="1" t="str">
        <f>+Sheet1!C41</f>
        <v>03-KORA</v>
      </c>
      <c r="C6" s="5">
        <f>+Sheet1!D51</f>
        <v>326990</v>
      </c>
      <c r="D6" s="5">
        <f>+Sheet1!E51</f>
        <v>0</v>
      </c>
      <c r="E6" s="5">
        <f>+Sheet1!F51</f>
        <v>0</v>
      </c>
      <c r="F6" s="5">
        <f>+Sheet1!G51</f>
        <v>0</v>
      </c>
      <c r="G6" s="5">
        <f>+Sheet1!H51</f>
        <v>0</v>
      </c>
      <c r="H6" s="5">
        <f>+Sheet1!I51</f>
        <v>0</v>
      </c>
      <c r="I6" s="5">
        <f>+Sheet1!J51</f>
        <v>0</v>
      </c>
      <c r="J6" s="5">
        <f>+Sheet1!K51</f>
        <v>0</v>
      </c>
      <c r="K6" s="5">
        <f>+Sheet1!L51</f>
        <v>0</v>
      </c>
      <c r="L6" s="5">
        <f>+Sheet1!M51</f>
        <v>0</v>
      </c>
      <c r="M6" s="25">
        <f>+Sheet1!N51</f>
        <v>0</v>
      </c>
    </row>
    <row r="7" spans="1:13" x14ac:dyDescent="0.25">
      <c r="A7" s="20">
        <v>4</v>
      </c>
      <c r="B7" s="1" t="str">
        <f>+Sheet1!C58</f>
        <v>04-TAYYAR STORE</v>
      </c>
      <c r="C7" s="5">
        <f>+Sheet1!D72</f>
        <v>461880</v>
      </c>
      <c r="D7" s="5">
        <f>+Sheet1!E72</f>
        <v>0</v>
      </c>
      <c r="E7" s="5">
        <f>+Sheet1!F72</f>
        <v>0</v>
      </c>
      <c r="F7" s="5">
        <f>+Sheet1!G72</f>
        <v>0</v>
      </c>
      <c r="G7" s="5">
        <f>+Sheet1!H72</f>
        <v>0</v>
      </c>
      <c r="H7" s="5">
        <f>+Sheet1!I72</f>
        <v>0</v>
      </c>
      <c r="I7" s="5">
        <f>+Sheet1!J72</f>
        <v>0</v>
      </c>
      <c r="J7" s="5">
        <f>+Sheet1!K72</f>
        <v>0</v>
      </c>
      <c r="K7" s="5">
        <f>+Sheet1!L72</f>
        <v>0</v>
      </c>
      <c r="L7" s="5">
        <f>+Sheet1!M72</f>
        <v>0</v>
      </c>
      <c r="M7" s="25">
        <f>+Sheet1!N72</f>
        <v>0</v>
      </c>
    </row>
    <row r="8" spans="1:13" x14ac:dyDescent="0.25">
      <c r="A8" s="19">
        <v>5</v>
      </c>
      <c r="B8" s="1" t="str">
        <f>+Sheet1!C79</f>
        <v>05-ELECTRIC</v>
      </c>
      <c r="C8" s="5">
        <f>+Sheet1!D90</f>
        <v>453320</v>
      </c>
      <c r="D8" s="5">
        <f>+Sheet1!E90</f>
        <v>0</v>
      </c>
      <c r="E8" s="5">
        <f>+Sheet1!F90</f>
        <v>0</v>
      </c>
      <c r="F8" s="5">
        <f>+Sheet1!G90</f>
        <v>0</v>
      </c>
      <c r="G8" s="5">
        <f>+Sheet1!H90</f>
        <v>0</v>
      </c>
      <c r="H8" s="5">
        <f>+Sheet1!I90</f>
        <v>0</v>
      </c>
      <c r="I8" s="5">
        <f>+Sheet1!J90</f>
        <v>0</v>
      </c>
      <c r="J8" s="5">
        <f>+Sheet1!K90</f>
        <v>0</v>
      </c>
      <c r="K8" s="5">
        <f>+Sheet1!L90</f>
        <v>0</v>
      </c>
      <c r="L8" s="5">
        <f>+Sheet1!M90</f>
        <v>0</v>
      </c>
      <c r="M8" s="25">
        <f>+Sheet1!N90</f>
        <v>0</v>
      </c>
    </row>
    <row r="9" spans="1:13" x14ac:dyDescent="0.25">
      <c r="A9" s="20">
        <v>6</v>
      </c>
      <c r="B9" s="1" t="str">
        <f>+Sheet1!C95</f>
        <v>06-WORK SHOP</v>
      </c>
      <c r="C9" s="5">
        <f>+Sheet1!D106</f>
        <v>446900</v>
      </c>
      <c r="D9" s="5">
        <f>+Sheet1!E106</f>
        <v>0</v>
      </c>
      <c r="E9" s="5">
        <f>+Sheet1!F106</f>
        <v>0</v>
      </c>
      <c r="F9" s="5">
        <f>+Sheet1!G106</f>
        <v>0</v>
      </c>
      <c r="G9" s="5">
        <f>+Sheet1!H106</f>
        <v>0</v>
      </c>
      <c r="H9" s="5">
        <f>+Sheet1!I106</f>
        <v>0</v>
      </c>
      <c r="I9" s="5">
        <f>+Sheet1!J106</f>
        <v>0</v>
      </c>
      <c r="J9" s="5">
        <f>+Sheet1!K106</f>
        <v>0</v>
      </c>
      <c r="K9" s="5">
        <f>+Sheet1!L106</f>
        <v>0</v>
      </c>
      <c r="L9" s="5">
        <f>+Sheet1!M106</f>
        <v>0</v>
      </c>
      <c r="M9" s="25">
        <f>+Sheet1!N106</f>
        <v>0</v>
      </c>
    </row>
    <row r="10" spans="1:13" x14ac:dyDescent="0.25">
      <c r="A10" s="19">
        <v>7</v>
      </c>
      <c r="B10" s="1" t="str">
        <f>+Sheet1!C116</f>
        <v>07-CREATION</v>
      </c>
      <c r="C10" s="5">
        <f>+Sheet1!D137</f>
        <v>1593500</v>
      </c>
      <c r="D10" s="5">
        <f>+Sheet1!E137</f>
        <v>0</v>
      </c>
      <c r="E10" s="5">
        <f>+Sheet1!F137</f>
        <v>0</v>
      </c>
      <c r="F10" s="5">
        <f>+Sheet1!G137</f>
        <v>0</v>
      </c>
      <c r="G10" s="5">
        <f>+Sheet1!H137</f>
        <v>0</v>
      </c>
      <c r="H10" s="5">
        <f>+Sheet1!I137</f>
        <v>0</v>
      </c>
      <c r="I10" s="5">
        <f>+Sheet1!J137</f>
        <v>0</v>
      </c>
      <c r="J10" s="5">
        <f>+Sheet1!K137</f>
        <v>0</v>
      </c>
      <c r="K10" s="5">
        <f>+Sheet1!L137</f>
        <v>0</v>
      </c>
      <c r="L10" s="5">
        <f>+Sheet1!M137</f>
        <v>0</v>
      </c>
      <c r="M10" s="25">
        <f>+Sheet1!N137</f>
        <v>0</v>
      </c>
    </row>
    <row r="11" spans="1:13" x14ac:dyDescent="0.25">
      <c r="A11" s="20">
        <v>8</v>
      </c>
      <c r="B11" s="1" t="str">
        <f>+Sheet1!C151</f>
        <v>08-KARE</v>
      </c>
      <c r="C11" s="5">
        <f>+Sheet1!D174</f>
        <v>889830</v>
      </c>
      <c r="D11" s="5">
        <f>+Sheet1!E174</f>
        <v>0</v>
      </c>
      <c r="E11" s="5">
        <f>+Sheet1!F174</f>
        <v>0</v>
      </c>
      <c r="F11" s="5">
        <f>+Sheet1!G174</f>
        <v>0</v>
      </c>
      <c r="G11" s="5">
        <f>+Sheet1!H174</f>
        <v>0</v>
      </c>
      <c r="H11" s="5">
        <f>+Sheet1!I174</f>
        <v>0</v>
      </c>
      <c r="I11" s="5">
        <f>+Sheet1!J174</f>
        <v>0</v>
      </c>
      <c r="J11" s="5">
        <f>+Sheet1!K174</f>
        <v>0</v>
      </c>
      <c r="K11" s="5">
        <f>+Sheet1!L174</f>
        <v>0</v>
      </c>
      <c r="L11" s="5">
        <f>+Sheet1!M174</f>
        <v>0</v>
      </c>
      <c r="M11" s="25">
        <f>+Sheet1!N174</f>
        <v>0</v>
      </c>
    </row>
    <row r="12" spans="1:13" x14ac:dyDescent="0.25">
      <c r="A12" s="19">
        <v>9</v>
      </c>
      <c r="B12" s="1" t="str">
        <f>+Sheet1!C176</f>
        <v>09-SINGING</v>
      </c>
      <c r="C12" s="5">
        <f>+Sheet1!D185</f>
        <v>209000</v>
      </c>
      <c r="D12" s="5">
        <f>+Sheet1!E185</f>
        <v>0</v>
      </c>
      <c r="E12" s="5">
        <f>+Sheet1!F185</f>
        <v>0</v>
      </c>
      <c r="F12" s="5">
        <f>+Sheet1!G185</f>
        <v>0</v>
      </c>
      <c r="G12" s="5">
        <f>+Sheet1!H185</f>
        <v>0</v>
      </c>
      <c r="H12" s="5">
        <f>+Sheet1!I185</f>
        <v>0</v>
      </c>
      <c r="I12" s="5">
        <f>+Sheet1!J185</f>
        <v>0</v>
      </c>
      <c r="J12" s="5">
        <f>+Sheet1!K185</f>
        <v>0</v>
      </c>
      <c r="K12" s="5">
        <f>+Sheet1!L185</f>
        <v>0</v>
      </c>
      <c r="L12" s="5">
        <f>+Sheet1!M185</f>
        <v>0</v>
      </c>
      <c r="M12" s="25">
        <f>+Sheet1!N185</f>
        <v>0</v>
      </c>
    </row>
    <row r="13" spans="1:13" x14ac:dyDescent="0.25">
      <c r="A13" s="20">
        <v>10</v>
      </c>
      <c r="B13" s="1" t="str">
        <f>+Sheet1!C187</f>
        <v>10-KARA DRAWING</v>
      </c>
      <c r="C13" s="5">
        <f>+Sheet1!D205</f>
        <v>432310</v>
      </c>
      <c r="D13" s="5">
        <f>+Sheet1!E205</f>
        <v>0</v>
      </c>
      <c r="E13" s="5">
        <f>+Sheet1!F205</f>
        <v>0</v>
      </c>
      <c r="F13" s="5">
        <f>+Sheet1!G205</f>
        <v>0</v>
      </c>
      <c r="G13" s="5">
        <f>+Sheet1!H205</f>
        <v>0</v>
      </c>
      <c r="H13" s="5">
        <f>+Sheet1!I205</f>
        <v>0</v>
      </c>
      <c r="I13" s="5">
        <f>+Sheet1!J205</f>
        <v>0</v>
      </c>
      <c r="J13" s="5">
        <f>+Sheet1!K205</f>
        <v>0</v>
      </c>
      <c r="K13" s="5">
        <f>+Sheet1!L205</f>
        <v>0</v>
      </c>
      <c r="L13" s="5">
        <f>+Sheet1!M205</f>
        <v>0</v>
      </c>
      <c r="M13" s="25">
        <f>+Sheet1!N205</f>
        <v>0</v>
      </c>
    </row>
    <row r="14" spans="1:13" x14ac:dyDescent="0.25">
      <c r="A14" s="19">
        <v>11</v>
      </c>
      <c r="B14" s="1" t="str">
        <f>+Sheet1!C220</f>
        <v>11-MERCRIZE</v>
      </c>
      <c r="C14" s="5">
        <f>+Sheet1!D236</f>
        <v>478750</v>
      </c>
      <c r="D14" s="5">
        <f>+Sheet1!E236</f>
        <v>0</v>
      </c>
      <c r="E14" s="5">
        <f>+Sheet1!F236</f>
        <v>0</v>
      </c>
      <c r="F14" s="5">
        <f>+Sheet1!G236</f>
        <v>0</v>
      </c>
      <c r="G14" s="5">
        <f>+Sheet1!H236</f>
        <v>0</v>
      </c>
      <c r="H14" s="5">
        <f>+Sheet1!I236</f>
        <v>0</v>
      </c>
      <c r="I14" s="5">
        <f>+Sheet1!J236</f>
        <v>0</v>
      </c>
      <c r="J14" s="5">
        <f>+Sheet1!K236</f>
        <v>0</v>
      </c>
      <c r="K14" s="5">
        <f>+Sheet1!L236</f>
        <v>0</v>
      </c>
      <c r="L14" s="5">
        <f>+Sheet1!M236</f>
        <v>0</v>
      </c>
      <c r="M14" s="25">
        <f>+Sheet1!N236</f>
        <v>0</v>
      </c>
    </row>
    <row r="15" spans="1:13" x14ac:dyDescent="0.25">
      <c r="A15" s="20">
        <v>12</v>
      </c>
      <c r="B15" s="1" t="str">
        <f>+Sheet1!C257</f>
        <v>12-BOUZER</v>
      </c>
      <c r="C15" s="5">
        <f>+Sheet1!D271</f>
        <v>498410</v>
      </c>
      <c r="D15" s="5">
        <f>+Sheet1!E271</f>
        <v>0</v>
      </c>
      <c r="E15" s="5">
        <f>+Sheet1!F271</f>
        <v>0</v>
      </c>
      <c r="F15" s="5">
        <f>+Sheet1!G271</f>
        <v>0</v>
      </c>
      <c r="G15" s="5">
        <f>+Sheet1!H271</f>
        <v>0</v>
      </c>
      <c r="H15" s="5">
        <f>+Sheet1!I271</f>
        <v>0</v>
      </c>
      <c r="I15" s="5">
        <f>+Sheet1!J271</f>
        <v>0</v>
      </c>
      <c r="J15" s="5">
        <f>+Sheet1!K271</f>
        <v>0</v>
      </c>
      <c r="K15" s="5">
        <f>+Sheet1!L271</f>
        <v>0</v>
      </c>
      <c r="L15" s="5">
        <f>+Sheet1!M271</f>
        <v>0</v>
      </c>
      <c r="M15" s="25">
        <f>+Sheet1!N271</f>
        <v>0</v>
      </c>
    </row>
    <row r="16" spans="1:13" x14ac:dyDescent="0.25">
      <c r="A16" s="19">
        <v>13</v>
      </c>
      <c r="B16" s="1" t="str">
        <f>+Sheet1!C278</f>
        <v>13-ENGRAVING</v>
      </c>
      <c r="C16" s="5">
        <f>+Sheet1!D286</f>
        <v>272650</v>
      </c>
      <c r="D16" s="5">
        <f>+Sheet1!E286</f>
        <v>0</v>
      </c>
      <c r="E16" s="5">
        <f>+Sheet1!F286</f>
        <v>0</v>
      </c>
      <c r="F16" s="5">
        <f>+Sheet1!G286</f>
        <v>0</v>
      </c>
      <c r="G16" s="5">
        <f>+Sheet1!H286</f>
        <v>0</v>
      </c>
      <c r="H16" s="5">
        <f>+Sheet1!I286</f>
        <v>0</v>
      </c>
      <c r="I16" s="15">
        <f>+Sheet1!J286</f>
        <v>0</v>
      </c>
      <c r="J16" s="5">
        <f>+Sheet1!K286</f>
        <v>0</v>
      </c>
      <c r="K16" s="5">
        <f>+Sheet1!L286</f>
        <v>0</v>
      </c>
      <c r="L16" s="5">
        <f>+Sheet1!M286</f>
        <v>0</v>
      </c>
      <c r="M16" s="25">
        <f>+Sheet1!N286</f>
        <v>0</v>
      </c>
    </row>
    <row r="17" spans="1:13" x14ac:dyDescent="0.25">
      <c r="A17" s="20">
        <v>14</v>
      </c>
      <c r="B17" s="1" t="str">
        <f>+Sheet1!C293</f>
        <v>14-COLOR</v>
      </c>
      <c r="C17" s="5">
        <f>+Sheet1!D303</f>
        <v>434640</v>
      </c>
      <c r="D17" s="5">
        <f>+Sheet1!E303</f>
        <v>0</v>
      </c>
      <c r="E17" s="5">
        <f>+Sheet1!F303</f>
        <v>0</v>
      </c>
      <c r="F17" s="5">
        <f>+Sheet1!G303</f>
        <v>0</v>
      </c>
      <c r="G17" s="5">
        <f>+Sheet1!H303</f>
        <v>0</v>
      </c>
      <c r="H17" s="5">
        <f>+Sheet1!I303</f>
        <v>0</v>
      </c>
      <c r="I17" s="5">
        <f>+Sheet1!J303</f>
        <v>0</v>
      </c>
      <c r="J17" s="5">
        <f>+Sheet1!K303</f>
        <v>0</v>
      </c>
      <c r="K17" s="5">
        <f>+Sheet1!L303</f>
        <v>0</v>
      </c>
      <c r="L17" s="5">
        <f>+Sheet1!M303</f>
        <v>0</v>
      </c>
      <c r="M17" s="25">
        <f>+Sheet1!N303</f>
        <v>0</v>
      </c>
    </row>
    <row r="18" spans="1:13" x14ac:dyDescent="0.25">
      <c r="A18" s="19">
        <v>15</v>
      </c>
      <c r="B18" s="1" t="str">
        <f>+Sheet1!C329</f>
        <v>15- SUNTEX</v>
      </c>
      <c r="C18" s="5">
        <f>+Sheet1!D346</f>
        <v>767400</v>
      </c>
      <c r="D18" s="5">
        <f>+Sheet1!E346</f>
        <v>0</v>
      </c>
      <c r="E18" s="5">
        <f>+Sheet1!F346</f>
        <v>0</v>
      </c>
      <c r="F18" s="5">
        <f>+Sheet1!G346</f>
        <v>0</v>
      </c>
      <c r="G18" s="5">
        <f>+Sheet1!H346</f>
        <v>0</v>
      </c>
      <c r="H18" s="5">
        <f>+Sheet1!I346</f>
        <v>0</v>
      </c>
      <c r="I18" s="5">
        <f>+Sheet1!J346</f>
        <v>0</v>
      </c>
      <c r="J18" s="5">
        <f>+Sheet1!K346</f>
        <v>0</v>
      </c>
      <c r="K18" s="5">
        <f>+Sheet1!L346</f>
        <v>0</v>
      </c>
      <c r="L18" s="5">
        <f>+Sheet1!M346</f>
        <v>0</v>
      </c>
      <c r="M18" s="25">
        <f>+Sheet1!N346</f>
        <v>0</v>
      </c>
    </row>
    <row r="19" spans="1:13" x14ac:dyDescent="0.25">
      <c r="A19" s="20">
        <v>16</v>
      </c>
      <c r="B19" s="1" t="str">
        <f>+Sheet1!C349</f>
        <v>17- DIGITAL MANDI MAN</v>
      </c>
      <c r="C19" s="5">
        <f>+Sheet1!D355</f>
        <v>123500</v>
      </c>
      <c r="D19" s="5">
        <f>+Sheet1!E355</f>
        <v>0</v>
      </c>
      <c r="E19" s="5">
        <f>+Sheet1!F355</f>
        <v>0</v>
      </c>
      <c r="F19" s="5">
        <f>+Sheet1!G355</f>
        <v>0</v>
      </c>
      <c r="G19" s="5">
        <f>+Sheet1!H355</f>
        <v>0</v>
      </c>
      <c r="H19" s="5">
        <f>+Sheet1!I355</f>
        <v>0</v>
      </c>
      <c r="I19" s="5">
        <f>+Sheet1!J355</f>
        <v>0</v>
      </c>
      <c r="J19" s="5">
        <f>+Sheet1!K355</f>
        <v>0</v>
      </c>
      <c r="K19" s="5">
        <f>+Sheet1!L355</f>
        <v>0</v>
      </c>
      <c r="L19" s="5">
        <f>+Sheet1!M355</f>
        <v>0</v>
      </c>
      <c r="M19" s="25">
        <f>+Sheet1!N355</f>
        <v>0</v>
      </c>
    </row>
    <row r="20" spans="1:13" x14ac:dyDescent="0.25">
      <c r="A20" s="19">
        <v>17</v>
      </c>
      <c r="B20" s="1" t="str">
        <f>+Sheet1!C364</f>
        <v>18-AUTO 01</v>
      </c>
      <c r="C20" s="5">
        <f>+Sheet1!D383</f>
        <v>494510</v>
      </c>
      <c r="D20" s="5">
        <f>+Sheet1!E383</f>
        <v>0</v>
      </c>
      <c r="E20" s="5">
        <f>+Sheet1!F383</f>
        <v>0</v>
      </c>
      <c r="F20" s="5">
        <f>+Sheet1!G383</f>
        <v>0</v>
      </c>
      <c r="G20" s="5">
        <f>+Sheet1!H383</f>
        <v>0</v>
      </c>
      <c r="H20" s="5">
        <f>+Sheet1!I383</f>
        <v>0</v>
      </c>
      <c r="I20" s="5">
        <f>+Sheet1!J383</f>
        <v>0</v>
      </c>
      <c r="J20" s="5">
        <f>+Sheet1!K383</f>
        <v>0</v>
      </c>
      <c r="K20" s="5">
        <f>+Sheet1!L383</f>
        <v>0</v>
      </c>
      <c r="L20" s="5">
        <f>+Sheet1!M383</f>
        <v>0</v>
      </c>
      <c r="M20" s="25">
        <f>+Sheet1!N383</f>
        <v>0</v>
      </c>
    </row>
    <row r="21" spans="1:13" x14ac:dyDescent="0.25">
      <c r="A21" s="20">
        <v>18</v>
      </c>
      <c r="B21" s="1" t="str">
        <f>+Sheet1!C400</f>
        <v>19- AUTO 02</v>
      </c>
      <c r="C21" s="5">
        <f>+Sheet1!D421</f>
        <v>594290</v>
      </c>
      <c r="D21" s="5">
        <f>+Sheet1!E421</f>
        <v>0</v>
      </c>
      <c r="E21" s="5">
        <f>+Sheet1!F421</f>
        <v>0</v>
      </c>
      <c r="F21" s="5">
        <f>+Sheet1!G421</f>
        <v>0</v>
      </c>
      <c r="G21" s="5">
        <f>+Sheet1!H421</f>
        <v>0</v>
      </c>
      <c r="H21" s="5">
        <f>+Sheet1!I421</f>
        <v>0</v>
      </c>
      <c r="I21" s="5">
        <f>+Sheet1!J421</f>
        <v>0</v>
      </c>
      <c r="J21" s="5">
        <f>+Sheet1!K421</f>
        <v>0</v>
      </c>
      <c r="K21" s="5">
        <f>+Sheet1!L421</f>
        <v>0</v>
      </c>
      <c r="L21" s="5">
        <f>+Sheet1!M421</f>
        <v>0</v>
      </c>
      <c r="M21" s="25">
        <f>+Sheet1!N421</f>
        <v>0</v>
      </c>
    </row>
    <row r="22" spans="1:13" x14ac:dyDescent="0.25">
      <c r="A22" s="19">
        <v>19</v>
      </c>
      <c r="B22" s="1" t="str">
        <f>+Sheet1!C436</f>
        <v>20-CALANDER</v>
      </c>
      <c r="C22" s="5">
        <f>+Sheet1!D455</f>
        <v>535975</v>
      </c>
      <c r="D22" s="5">
        <f>+Sheet1!E455</f>
        <v>0</v>
      </c>
      <c r="E22" s="5">
        <f>+Sheet1!F455</f>
        <v>0</v>
      </c>
      <c r="F22" s="5">
        <f>+Sheet1!G455</f>
        <v>0</v>
      </c>
      <c r="G22" s="5">
        <f>+Sheet1!H455</f>
        <v>0</v>
      </c>
      <c r="H22" s="5">
        <f>+Sheet1!I455</f>
        <v>0</v>
      </c>
      <c r="I22" s="5">
        <f>+Sheet1!J455</f>
        <v>0</v>
      </c>
      <c r="J22" s="5">
        <f>+Sheet1!K455</f>
        <v>0</v>
      </c>
      <c r="K22" s="5">
        <f>+Sheet1!L455</f>
        <v>0</v>
      </c>
      <c r="L22" s="5">
        <f>+Sheet1!M455</f>
        <v>0</v>
      </c>
      <c r="M22" s="25">
        <f>+Sheet1!N455</f>
        <v>0</v>
      </c>
    </row>
    <row r="23" spans="1:13" x14ac:dyDescent="0.25">
      <c r="A23" s="20">
        <v>20</v>
      </c>
      <c r="B23" s="1" t="str">
        <f>+Sheet1!C470</f>
        <v>21-SOOPER</v>
      </c>
      <c r="C23" s="5">
        <f>+Sheet1!D490</f>
        <v>545910</v>
      </c>
      <c r="D23" s="5">
        <f>+Sheet1!E490</f>
        <v>0</v>
      </c>
      <c r="E23" s="5">
        <f>+Sheet1!F490</f>
        <v>0</v>
      </c>
      <c r="F23" s="5">
        <f>+Sheet1!G490</f>
        <v>0</v>
      </c>
      <c r="G23" s="5">
        <f>+Sheet1!H490</f>
        <v>0</v>
      </c>
      <c r="H23" s="5">
        <f>+Sheet1!I490</f>
        <v>0</v>
      </c>
      <c r="I23" s="5">
        <f>+Sheet1!J490</f>
        <v>0</v>
      </c>
      <c r="J23" s="5">
        <f>+Sheet1!K490</f>
        <v>0</v>
      </c>
      <c r="K23" s="5">
        <f>+Sheet1!L490</f>
        <v>0</v>
      </c>
      <c r="L23" s="5">
        <f>+Sheet1!M490</f>
        <v>0</v>
      </c>
      <c r="M23" s="25">
        <f>+Sheet1!N490</f>
        <v>0</v>
      </c>
    </row>
    <row r="24" spans="1:13" x14ac:dyDescent="0.25">
      <c r="A24" s="19">
        <v>21</v>
      </c>
      <c r="B24" s="1" t="str">
        <f>+Sheet1!C491</f>
        <v>22-VENCH</v>
      </c>
      <c r="C24" s="5">
        <f>+Sheet1!D503</f>
        <v>302170</v>
      </c>
      <c r="D24" s="5">
        <f>+Sheet1!E503</f>
        <v>0</v>
      </c>
      <c r="E24" s="5">
        <f>+Sheet1!F503</f>
        <v>0</v>
      </c>
      <c r="F24" s="5">
        <f>+Sheet1!G503</f>
        <v>0</v>
      </c>
      <c r="G24" s="5">
        <f>+Sheet1!H503</f>
        <v>0</v>
      </c>
      <c r="H24" s="5">
        <f>+Sheet1!I503</f>
        <v>0</v>
      </c>
      <c r="I24" s="5">
        <f>+Sheet1!J503</f>
        <v>0</v>
      </c>
      <c r="J24" s="5">
        <f>+Sheet1!K503</f>
        <v>0</v>
      </c>
      <c r="K24" s="5">
        <f>+Sheet1!L503</f>
        <v>0</v>
      </c>
      <c r="L24" s="5">
        <f>+Sheet1!M503</f>
        <v>0</v>
      </c>
      <c r="M24" s="25">
        <f>+Sheet1!N503</f>
        <v>0</v>
      </c>
    </row>
    <row r="25" spans="1:13" x14ac:dyDescent="0.25">
      <c r="A25" s="20">
        <v>22</v>
      </c>
      <c r="B25" s="1" t="str">
        <f>+Sheet1!C507</f>
        <v>23- AGER MACHINE</v>
      </c>
      <c r="C25" s="5">
        <f>+Sheet1!D530</f>
        <v>703530</v>
      </c>
      <c r="D25" s="5">
        <f>+Sheet1!E530</f>
        <v>0</v>
      </c>
      <c r="E25" s="5">
        <f>+Sheet1!F530</f>
        <v>0</v>
      </c>
      <c r="F25" s="5">
        <f>+Sheet1!G530</f>
        <v>0</v>
      </c>
      <c r="G25" s="5">
        <f>+Sheet1!H530</f>
        <v>0</v>
      </c>
      <c r="H25" s="5">
        <f>+Sheet1!I530</f>
        <v>0</v>
      </c>
      <c r="I25" s="5">
        <f>+Sheet1!J530</f>
        <v>0</v>
      </c>
      <c r="J25" s="5">
        <f>+Sheet1!K530</f>
        <v>0</v>
      </c>
      <c r="K25" s="5">
        <f>+Sheet1!L530</f>
        <v>0</v>
      </c>
      <c r="L25" s="5">
        <f>+Sheet1!M530</f>
        <v>0</v>
      </c>
      <c r="M25" s="25">
        <f>+Sheet1!N530</f>
        <v>0</v>
      </c>
    </row>
    <row r="26" spans="1:13" x14ac:dyDescent="0.25">
      <c r="A26" s="19">
        <v>23</v>
      </c>
      <c r="B26" s="1" t="str">
        <f>+Sheet1!C541</f>
        <v>24- JIGGER DYEING</v>
      </c>
      <c r="C26" s="5">
        <f>+Sheet1!D561</f>
        <v>762950</v>
      </c>
      <c r="D26" s="5">
        <f>+Sheet1!E561</f>
        <v>0</v>
      </c>
      <c r="E26" s="5">
        <f>+Sheet1!F561</f>
        <v>0</v>
      </c>
      <c r="F26" s="5">
        <f>+Sheet1!G561</f>
        <v>0</v>
      </c>
      <c r="G26" s="5">
        <f>+Sheet1!H561</f>
        <v>0</v>
      </c>
      <c r="H26" s="5">
        <f>+Sheet1!I561</f>
        <v>0</v>
      </c>
      <c r="I26" s="5">
        <f>+Sheet1!J561</f>
        <v>0</v>
      </c>
      <c r="J26" s="5">
        <f>+Sheet1!K561</f>
        <v>0</v>
      </c>
      <c r="K26" s="5">
        <f>+Sheet1!L561</f>
        <v>0</v>
      </c>
      <c r="L26" s="5">
        <f>+Sheet1!M561</f>
        <v>0</v>
      </c>
      <c r="M26" s="25">
        <f>+Sheet1!N561</f>
        <v>0</v>
      </c>
    </row>
    <row r="27" spans="1:13" x14ac:dyDescent="0.25">
      <c r="A27" s="20">
        <v>24</v>
      </c>
      <c r="B27" s="1" t="str">
        <f>+Sheet1!C562</f>
        <v>25- JIGER DRAWING</v>
      </c>
      <c r="C27" s="5">
        <f>+Sheet1!D576</f>
        <v>315678</v>
      </c>
      <c r="D27" s="5">
        <f>+Sheet1!E576</f>
        <v>0</v>
      </c>
      <c r="E27" s="5">
        <f>+Sheet1!F576</f>
        <v>0</v>
      </c>
      <c r="F27" s="5">
        <f>+Sheet1!G576</f>
        <v>0</v>
      </c>
      <c r="G27" s="5">
        <f>+Sheet1!H576</f>
        <v>0</v>
      </c>
      <c r="H27" s="5">
        <f>+Sheet1!I576</f>
        <v>0</v>
      </c>
      <c r="I27" s="5">
        <f>+Sheet1!J576</f>
        <v>0</v>
      </c>
      <c r="J27" s="5">
        <f>+Sheet1!K576</f>
        <v>0</v>
      </c>
      <c r="K27" s="5">
        <f>+Sheet1!L576</f>
        <v>0</v>
      </c>
      <c r="L27" s="5">
        <f>+Sheet1!M576</f>
        <v>0</v>
      </c>
      <c r="M27" s="25">
        <f>+Sheet1!N576</f>
        <v>0</v>
      </c>
    </row>
    <row r="28" spans="1:13" x14ac:dyDescent="0.25">
      <c r="A28" s="19">
        <v>25</v>
      </c>
      <c r="B28" s="1" t="str">
        <f>+Sheet1!C579</f>
        <v>26- DIGITAL MACHINE</v>
      </c>
      <c r="C28" s="5">
        <f>+Sheet1!D592+Sheet1!D612+Sheet1!D632+Sheet1!D646+Sheet1!D671</f>
        <v>3557970</v>
      </c>
      <c r="D28" s="5">
        <f>+Sheet1!E592+Sheet1!E612+Sheet1!E632+Sheet1!E646+Sheet1!E671</f>
        <v>0</v>
      </c>
      <c r="E28" s="5">
        <f>+Sheet1!F592+Sheet1!F612+Sheet1!F632+Sheet1!F646+Sheet1!F671</f>
        <v>0</v>
      </c>
      <c r="F28" s="5">
        <f>+Sheet1!G592+Sheet1!G612+Sheet1!G632+Sheet1!G646+Sheet1!G671</f>
        <v>0</v>
      </c>
      <c r="G28" s="5">
        <f>+Sheet1!H592+Sheet1!H612+Sheet1!H632+Sheet1!H646+Sheet1!H671</f>
        <v>0</v>
      </c>
      <c r="H28" s="5">
        <f>+Sheet1!I592+Sheet1!I612+Sheet1!I632+Sheet1!I646+Sheet1!I671</f>
        <v>0</v>
      </c>
      <c r="I28" s="5">
        <f>+Sheet1!J592+Sheet1!J612+Sheet1!J632+Sheet1!J646+Sheet1!J671</f>
        <v>0</v>
      </c>
      <c r="J28" s="5">
        <f>+Sheet1!K592+Sheet1!K612+Sheet1!K632+Sheet1!K646+Sheet1!K671</f>
        <v>0</v>
      </c>
      <c r="K28" s="5">
        <f>+Sheet1!L592+Sheet1!L612+Sheet1!L632+Sheet1!L646+Sheet1!L671</f>
        <v>0</v>
      </c>
      <c r="L28" s="5">
        <f>+Sheet1!M592+Sheet1!M612+Sheet1!M632+Sheet1!M646+Sheet1!M671</f>
        <v>0</v>
      </c>
      <c r="M28" s="25">
        <f>+Sheet1!N592+Sheet1!N612+Sheet1!N632+Sheet1!N646+Sheet1!N671</f>
        <v>0</v>
      </c>
    </row>
    <row r="29" spans="1:13" x14ac:dyDescent="0.25">
      <c r="A29" s="20">
        <v>26</v>
      </c>
      <c r="B29" s="1" t="str">
        <f>+Sheet1!C688</f>
        <v>27- PPC</v>
      </c>
      <c r="C29" s="5">
        <f>+Sheet1!D692</f>
        <v>127705</v>
      </c>
      <c r="D29" s="5">
        <f>+Sheet1!E692</f>
        <v>0</v>
      </c>
      <c r="E29" s="5">
        <f>+Sheet1!F692</f>
        <v>0</v>
      </c>
      <c r="F29" s="5">
        <f>+Sheet1!G692</f>
        <v>0</v>
      </c>
      <c r="G29" s="5">
        <f>+Sheet1!H692</f>
        <v>0</v>
      </c>
      <c r="H29" s="5">
        <f>+Sheet1!I692</f>
        <v>0</v>
      </c>
      <c r="I29" s="5">
        <f>+Sheet1!J692</f>
        <v>0</v>
      </c>
      <c r="J29" s="5">
        <f>+Sheet1!K692</f>
        <v>0</v>
      </c>
      <c r="K29" s="5">
        <f>+Sheet1!L692</f>
        <v>0</v>
      </c>
      <c r="L29" s="5">
        <f>+Sheet1!M692</f>
        <v>0</v>
      </c>
      <c r="M29" s="25">
        <f>+Sheet1!N692</f>
        <v>0</v>
      </c>
    </row>
    <row r="30" spans="1:13" x14ac:dyDescent="0.25">
      <c r="A30" s="19">
        <v>27</v>
      </c>
      <c r="B30" s="1" t="str">
        <f>+Sheet1!C698</f>
        <v>28- BOILER</v>
      </c>
      <c r="C30" s="5">
        <f>+Sheet1!D702</f>
        <v>613470</v>
      </c>
      <c r="D30" s="5">
        <f>+Sheet1!E702</f>
        <v>0</v>
      </c>
      <c r="E30" s="5">
        <f>+Sheet1!F702</f>
        <v>0</v>
      </c>
      <c r="F30" s="5">
        <f>+Sheet1!G702</f>
        <v>0</v>
      </c>
      <c r="G30" s="5">
        <f>+Sheet1!H702</f>
        <v>0</v>
      </c>
      <c r="H30" s="5">
        <f>+Sheet1!I702</f>
        <v>0</v>
      </c>
      <c r="I30" s="5">
        <f>+Sheet1!J702</f>
        <v>0</v>
      </c>
      <c r="J30" s="5">
        <f>+Sheet1!K702</f>
        <v>0</v>
      </c>
      <c r="K30" s="5">
        <f>+Sheet1!L702</f>
        <v>0</v>
      </c>
      <c r="L30" s="5">
        <f>+Sheet1!M702</f>
        <v>0</v>
      </c>
      <c r="M30" s="25">
        <f>+Sheet1!N702</f>
        <v>0</v>
      </c>
    </row>
    <row r="31" spans="1:13" x14ac:dyDescent="0.25">
      <c r="A31" s="20">
        <v>28</v>
      </c>
      <c r="B31" s="1" t="str">
        <f>+Sheet1!C710</f>
        <v>29-GM</v>
      </c>
      <c r="C31" s="5">
        <f>+Sheet1!D714</f>
        <v>330000</v>
      </c>
      <c r="D31" s="5">
        <f>+Sheet1!E714</f>
        <v>0</v>
      </c>
      <c r="E31" s="5">
        <f>+Sheet1!F714</f>
        <v>0</v>
      </c>
      <c r="F31" s="5">
        <f>+Sheet1!G714</f>
        <v>0</v>
      </c>
      <c r="G31" s="5">
        <f>+Sheet1!H714</f>
        <v>0</v>
      </c>
      <c r="H31" s="5">
        <f>+Sheet1!I714</f>
        <v>0</v>
      </c>
      <c r="I31" s="5">
        <f>+Sheet1!J714</f>
        <v>0</v>
      </c>
      <c r="J31" s="5">
        <f>+Sheet1!K714</f>
        <v>0</v>
      </c>
      <c r="K31" s="5">
        <f>+Sheet1!L714</f>
        <v>0</v>
      </c>
      <c r="L31" s="5">
        <f>+Sheet1!M714</f>
        <v>0</v>
      </c>
      <c r="M31" s="25">
        <f>+Sheet1!N714</f>
        <v>0</v>
      </c>
    </row>
    <row r="32" spans="1:13" x14ac:dyDescent="0.25">
      <c r="A32" s="19">
        <v>29</v>
      </c>
      <c r="B32" s="1" t="str">
        <f>+Sheet1!C724</f>
        <v>30-FOLDING</v>
      </c>
      <c r="C32" s="5">
        <f>+Sheet1!D728</f>
        <v>277200</v>
      </c>
      <c r="D32" s="5">
        <f>+Sheet1!E728</f>
        <v>0</v>
      </c>
      <c r="E32" s="5">
        <f>+Sheet1!F728</f>
        <v>0</v>
      </c>
      <c r="F32" s="5">
        <f>+Sheet1!G728</f>
        <v>0</v>
      </c>
      <c r="G32" s="5">
        <f>+Sheet1!H728</f>
        <v>0</v>
      </c>
      <c r="H32" s="5">
        <f>+Sheet1!I728</f>
        <v>0</v>
      </c>
      <c r="I32" s="5">
        <f>+Sheet1!J728</f>
        <v>0</v>
      </c>
      <c r="J32" s="5">
        <f>+Sheet1!K728</f>
        <v>0</v>
      </c>
      <c r="K32" s="5">
        <f>+Sheet1!L728</f>
        <v>0</v>
      </c>
      <c r="L32" s="5">
        <f>+Sheet1!M728</f>
        <v>0</v>
      </c>
      <c r="M32" s="25">
        <f>+Sheet1!N728</f>
        <v>0</v>
      </c>
    </row>
    <row r="33" spans="1:13" x14ac:dyDescent="0.25">
      <c r="A33" s="20">
        <v>30</v>
      </c>
      <c r="B33" s="1" t="str">
        <f>+Sheet1!C732</f>
        <v>31-YASINE CP</v>
      </c>
      <c r="C33" s="5">
        <f>+Sheet1!D736</f>
        <v>220000</v>
      </c>
      <c r="D33" s="5">
        <f>+Sheet1!E736</f>
        <v>0</v>
      </c>
      <c r="E33" s="5">
        <f>+Sheet1!F736</f>
        <v>0</v>
      </c>
      <c r="F33" s="5">
        <f>+Sheet1!G736</f>
        <v>0</v>
      </c>
      <c r="G33" s="5">
        <f>+Sheet1!H736</f>
        <v>0</v>
      </c>
      <c r="H33" s="5">
        <f>+Sheet1!I736</f>
        <v>0</v>
      </c>
      <c r="I33" s="5">
        <f>+Sheet1!J736</f>
        <v>0</v>
      </c>
      <c r="J33" s="5">
        <f>+Sheet1!K736</f>
        <v>0</v>
      </c>
      <c r="K33" s="5">
        <f>+Sheet1!L736</f>
        <v>0</v>
      </c>
      <c r="L33" s="5">
        <f>+Sheet1!M736</f>
        <v>0</v>
      </c>
      <c r="M33" s="25">
        <f>+Sheet1!N736</f>
        <v>0</v>
      </c>
    </row>
    <row r="34" spans="1:13" x14ac:dyDescent="0.25">
      <c r="A34" s="19">
        <v>31</v>
      </c>
      <c r="B34" s="1" t="str">
        <f>+Sheet1!C741</f>
        <v>32- ZAFAR NUG PACKING</v>
      </c>
      <c r="C34" s="5">
        <f>+Sheet1!D745</f>
        <v>190000</v>
      </c>
      <c r="D34" s="5">
        <f>+Sheet1!E745</f>
        <v>0</v>
      </c>
      <c r="E34" s="5">
        <f>+Sheet1!F745</f>
        <v>0</v>
      </c>
      <c r="F34" s="5">
        <f>+Sheet1!G745</f>
        <v>0</v>
      </c>
      <c r="G34" s="5">
        <f>+Sheet1!H745</f>
        <v>0</v>
      </c>
      <c r="H34" s="5">
        <f>+Sheet1!I745</f>
        <v>0</v>
      </c>
      <c r="I34" s="5">
        <f>+Sheet1!J745</f>
        <v>0</v>
      </c>
      <c r="J34" s="5">
        <f>+Sheet1!K745</f>
        <v>0</v>
      </c>
      <c r="K34" s="5">
        <f>+Sheet1!L745</f>
        <v>0</v>
      </c>
      <c r="L34" s="5">
        <f>+Sheet1!M745</f>
        <v>0</v>
      </c>
      <c r="M34" s="25">
        <f>+Sheet1!N745</f>
        <v>0</v>
      </c>
    </row>
    <row r="35" spans="1:13" x14ac:dyDescent="0.25">
      <c r="A35" s="20">
        <v>32</v>
      </c>
      <c r="B35" s="1" t="str">
        <f>+Sheet1!C749</f>
        <v>33-SWEEPERS</v>
      </c>
      <c r="C35" s="5">
        <f>+Sheet1!D755</f>
        <v>110000</v>
      </c>
      <c r="D35" s="5">
        <f>+Sheet1!E755</f>
        <v>0</v>
      </c>
      <c r="E35" s="5">
        <f>+Sheet1!F755</f>
        <v>0</v>
      </c>
      <c r="F35" s="5">
        <f>+Sheet1!G755</f>
        <v>0</v>
      </c>
      <c r="G35" s="5">
        <f>+Sheet1!H755</f>
        <v>0</v>
      </c>
      <c r="H35" s="5">
        <f>+Sheet1!I755</f>
        <v>0</v>
      </c>
      <c r="I35" s="5">
        <f>+Sheet1!J755</f>
        <v>0</v>
      </c>
      <c r="J35" s="5">
        <f>+Sheet1!K755</f>
        <v>0</v>
      </c>
      <c r="K35" s="5">
        <f>+Sheet1!L755</f>
        <v>0</v>
      </c>
      <c r="L35" s="5">
        <f>+Sheet1!M755</f>
        <v>0</v>
      </c>
      <c r="M35" s="25">
        <f>+Sheet1!N755</f>
        <v>0</v>
      </c>
    </row>
    <row r="36" spans="1:13" ht="15.75" thickBot="1" x14ac:dyDescent="0.3">
      <c r="A36" s="30">
        <v>33</v>
      </c>
      <c r="B36" s="31" t="s">
        <v>344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</row>
    <row r="37" spans="1:13" ht="15.75" thickBot="1" x14ac:dyDescent="0.3">
      <c r="A37" s="9"/>
      <c r="B37" s="3" t="s">
        <v>11</v>
      </c>
      <c r="C37" s="26">
        <f>SUM(C4:C36)</f>
        <v>18315192</v>
      </c>
      <c r="D37" s="26">
        <f t="shared" ref="D37:M37" si="0">SUM(D4:D36)</f>
        <v>0</v>
      </c>
      <c r="E37" s="26">
        <f t="shared" si="0"/>
        <v>0</v>
      </c>
      <c r="F37" s="26">
        <f t="shared" si="0"/>
        <v>0</v>
      </c>
      <c r="G37" s="26">
        <f t="shared" si="0"/>
        <v>0</v>
      </c>
      <c r="H37" s="26">
        <f t="shared" si="0"/>
        <v>0</v>
      </c>
      <c r="I37" s="26">
        <f t="shared" si="0"/>
        <v>0</v>
      </c>
      <c r="J37" s="26">
        <f t="shared" si="0"/>
        <v>0</v>
      </c>
      <c r="K37" s="26">
        <f t="shared" si="0"/>
        <v>0</v>
      </c>
      <c r="L37" s="26">
        <f t="shared" si="0"/>
        <v>0</v>
      </c>
      <c r="M37" s="26">
        <f t="shared" si="0"/>
        <v>0</v>
      </c>
    </row>
    <row r="38" spans="1:13" x14ac:dyDescent="0.25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/>
    </row>
    <row r="39" spans="1:13" x14ac:dyDescent="0.25">
      <c r="A39" s="21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7"/>
    </row>
    <row r="40" spans="1:13" x14ac:dyDescent="0.25">
      <c r="A40" s="21"/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34"/>
    </row>
    <row r="41" spans="1:13" x14ac:dyDescent="0.25">
      <c r="A41" s="21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7"/>
    </row>
    <row r="42" spans="1:13" x14ac:dyDescent="0.25">
      <c r="A42" s="21"/>
      <c r="B42" s="22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7"/>
    </row>
    <row r="43" spans="1:13" x14ac:dyDescent="0.25">
      <c r="A43" s="21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7"/>
    </row>
    <row r="44" spans="1:13" x14ac:dyDescent="0.25">
      <c r="A44" s="21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7"/>
    </row>
    <row r="45" spans="1:13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 t="s">
        <v>85</v>
      </c>
      <c r="M45" s="28">
        <v>25000</v>
      </c>
    </row>
    <row r="46" spans="1:13" x14ac:dyDescent="0.25">
      <c r="I46" s="7"/>
      <c r="L46" t="s">
        <v>323</v>
      </c>
      <c r="M46" s="17">
        <v>25000</v>
      </c>
    </row>
    <row r="47" spans="1:13" x14ac:dyDescent="0.25">
      <c r="I47" s="43"/>
      <c r="L47" t="s">
        <v>324</v>
      </c>
      <c r="M47" s="17">
        <v>20000</v>
      </c>
    </row>
    <row r="48" spans="1:13" x14ac:dyDescent="0.25">
      <c r="I48" s="7"/>
      <c r="L48" t="s">
        <v>164</v>
      </c>
      <c r="M48" s="17">
        <v>15000</v>
      </c>
    </row>
    <row r="49" spans="12:13" x14ac:dyDescent="0.25">
      <c r="L49" t="s">
        <v>380</v>
      </c>
      <c r="M49" s="17">
        <v>10000</v>
      </c>
    </row>
    <row r="50" spans="12:13" x14ac:dyDescent="0.25">
      <c r="M50" s="28">
        <f>SUM(M45:M49)</f>
        <v>95000</v>
      </c>
    </row>
    <row r="51" spans="12:13" x14ac:dyDescent="0.25">
      <c r="M51" s="29">
        <f>+M50+M37</f>
        <v>95000</v>
      </c>
    </row>
    <row r="53" spans="12:13" x14ac:dyDescent="0.25">
      <c r="M53" s="29"/>
    </row>
  </sheetData>
  <mergeCells count="1">
    <mergeCell ref="A1:M1"/>
  </mergeCells>
  <pageMargins left="0" right="0" top="0.25" bottom="0.25" header="0.3" footer="0.3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971"/>
  <sheetViews>
    <sheetView tabSelected="1" topLeftCell="A734" workbookViewId="0">
      <selection activeCell="A762" sqref="A762"/>
    </sheetView>
  </sheetViews>
  <sheetFormatPr defaultRowHeight="15" x14ac:dyDescent="0.25"/>
  <cols>
    <col min="1" max="1" width="6.85546875" style="8" bestFit="1" customWidth="1"/>
    <col min="2" max="2" width="17.140625" customWidth="1"/>
    <col min="3" max="3" width="9.5703125" customWidth="1"/>
    <col min="4" max="4" width="11.5703125" style="8" customWidth="1"/>
    <col min="5" max="5" width="8" style="8" bestFit="1" customWidth="1"/>
    <col min="6" max="6" width="11.5703125" style="8" customWidth="1"/>
    <col min="7" max="7" width="8" style="8" customWidth="1"/>
    <col min="8" max="8" width="10.5703125" style="8" customWidth="1"/>
    <col min="9" max="9" width="11.5703125" style="8" customWidth="1"/>
    <col min="10" max="10" width="10.5703125" style="8" customWidth="1"/>
    <col min="11" max="11" width="9.7109375" style="8" bestFit="1" customWidth="1"/>
    <col min="12" max="12" width="10.5703125" style="8" customWidth="1"/>
    <col min="13" max="13" width="10.5703125" style="8" bestFit="1" customWidth="1"/>
    <col min="14" max="14" width="11.5703125" style="8" customWidth="1"/>
    <col min="15" max="15" width="60.140625" bestFit="1" customWidth="1"/>
  </cols>
  <sheetData>
    <row r="3" spans="1:17" ht="15.75" thickBot="1" x14ac:dyDescent="0.3">
      <c r="C3" s="6" t="s">
        <v>32</v>
      </c>
      <c r="J3" s="36"/>
    </row>
    <row r="4" spans="1:17" ht="15.75" thickBot="1" x14ac:dyDescent="0.3">
      <c r="A4" s="9" t="s">
        <v>0</v>
      </c>
      <c r="B4" s="3" t="s">
        <v>1</v>
      </c>
      <c r="C4" s="3" t="s">
        <v>2</v>
      </c>
      <c r="D4" s="35" t="s">
        <v>3</v>
      </c>
      <c r="E4" s="35" t="s">
        <v>4</v>
      </c>
      <c r="F4" s="35" t="s">
        <v>5</v>
      </c>
      <c r="G4" s="35" t="s">
        <v>6</v>
      </c>
      <c r="H4" s="35" t="s">
        <v>5</v>
      </c>
      <c r="I4" s="35" t="s">
        <v>7</v>
      </c>
      <c r="J4" s="35" t="s">
        <v>8</v>
      </c>
      <c r="K4" s="35" t="s">
        <v>8</v>
      </c>
      <c r="L4" s="35" t="s">
        <v>9</v>
      </c>
      <c r="M4" s="35" t="s">
        <v>467</v>
      </c>
      <c r="N4" s="12" t="s">
        <v>10</v>
      </c>
    </row>
    <row r="5" spans="1:17" x14ac:dyDescent="0.25">
      <c r="A5" s="10">
        <v>1</v>
      </c>
      <c r="B5" s="1" t="s">
        <v>14</v>
      </c>
      <c r="C5" s="1" t="s">
        <v>15</v>
      </c>
      <c r="D5" s="37">
        <v>46585</v>
      </c>
      <c r="E5" s="38">
        <v>0</v>
      </c>
      <c r="F5" s="13">
        <f>+D5/31*E5</f>
        <v>0</v>
      </c>
      <c r="G5" s="13">
        <v>0</v>
      </c>
      <c r="H5" s="13">
        <f>+D5/248*G5</f>
        <v>0</v>
      </c>
      <c r="I5" s="13">
        <f>+F5+H5</f>
        <v>0</v>
      </c>
      <c r="J5" s="13">
        <v>0</v>
      </c>
      <c r="K5" s="13">
        <v>0</v>
      </c>
      <c r="L5" s="13">
        <v>0</v>
      </c>
      <c r="M5" s="13">
        <v>0</v>
      </c>
      <c r="N5" s="13">
        <f>+J5-K5-L5-M5</f>
        <v>0</v>
      </c>
      <c r="O5" t="s">
        <v>450</v>
      </c>
      <c r="Q5" s="7"/>
    </row>
    <row r="6" spans="1:17" x14ac:dyDescent="0.25">
      <c r="A6" s="10">
        <v>2</v>
      </c>
      <c r="B6" s="2" t="s">
        <v>12</v>
      </c>
      <c r="C6" s="2" t="s">
        <v>13</v>
      </c>
      <c r="D6" s="13">
        <v>44000</v>
      </c>
      <c r="E6" s="38">
        <v>0</v>
      </c>
      <c r="F6" s="13">
        <f t="shared" ref="F6:F19" si="0">+D6/31*E6</f>
        <v>0</v>
      </c>
      <c r="G6" s="13">
        <v>0</v>
      </c>
      <c r="H6" s="13">
        <f t="shared" ref="H6:H19" si="1">+D6/248*G6</f>
        <v>0</v>
      </c>
      <c r="I6" s="13">
        <f t="shared" ref="I6:I19" si="2">+F6+H6</f>
        <v>0</v>
      </c>
      <c r="J6" s="13">
        <v>0</v>
      </c>
      <c r="K6" s="13">
        <v>0</v>
      </c>
      <c r="L6" s="13">
        <v>0</v>
      </c>
      <c r="M6" s="13">
        <v>0</v>
      </c>
      <c r="N6" s="13">
        <f t="shared" ref="N6:N19" si="3">+J6-K6-L6-M6</f>
        <v>0</v>
      </c>
      <c r="O6" t="s">
        <v>450</v>
      </c>
      <c r="Q6" s="7"/>
    </row>
    <row r="7" spans="1:17" x14ac:dyDescent="0.25">
      <c r="A7" s="10">
        <v>3</v>
      </c>
      <c r="B7" s="1" t="s">
        <v>355</v>
      </c>
      <c r="C7" s="2" t="s">
        <v>13</v>
      </c>
      <c r="D7" s="13">
        <v>40000</v>
      </c>
      <c r="E7" s="38">
        <v>0</v>
      </c>
      <c r="F7" s="13">
        <f t="shared" si="0"/>
        <v>0</v>
      </c>
      <c r="G7" s="13">
        <v>0</v>
      </c>
      <c r="H7" s="13">
        <f t="shared" si="1"/>
        <v>0</v>
      </c>
      <c r="I7" s="13">
        <f t="shared" si="2"/>
        <v>0</v>
      </c>
      <c r="J7" s="13">
        <v>0</v>
      </c>
      <c r="K7" s="13">
        <v>0</v>
      </c>
      <c r="L7" s="13">
        <v>0</v>
      </c>
      <c r="M7" s="13">
        <v>0</v>
      </c>
      <c r="N7" s="13">
        <f t="shared" si="3"/>
        <v>0</v>
      </c>
      <c r="O7" t="s">
        <v>450</v>
      </c>
    </row>
    <row r="8" spans="1:17" x14ac:dyDescent="0.25">
      <c r="A8" s="10">
        <v>4</v>
      </c>
      <c r="B8" s="1" t="s">
        <v>278</v>
      </c>
      <c r="C8" s="1" t="s">
        <v>279</v>
      </c>
      <c r="D8" s="37">
        <v>40000</v>
      </c>
      <c r="E8" s="38">
        <v>0</v>
      </c>
      <c r="F8" s="13">
        <f t="shared" si="0"/>
        <v>0</v>
      </c>
      <c r="G8" s="13">
        <v>0</v>
      </c>
      <c r="H8" s="13">
        <f t="shared" si="1"/>
        <v>0</v>
      </c>
      <c r="I8" s="13">
        <f t="shared" si="2"/>
        <v>0</v>
      </c>
      <c r="J8" s="13">
        <v>0</v>
      </c>
      <c r="K8" s="13">
        <v>0</v>
      </c>
      <c r="L8" s="13">
        <v>0</v>
      </c>
      <c r="M8" s="13">
        <v>0</v>
      </c>
      <c r="N8" s="13">
        <f t="shared" si="3"/>
        <v>0</v>
      </c>
      <c r="O8" t="s">
        <v>451</v>
      </c>
    </row>
    <row r="9" spans="1:17" x14ac:dyDescent="0.25">
      <c r="A9" s="10">
        <v>5</v>
      </c>
      <c r="B9" s="1" t="s">
        <v>322</v>
      </c>
      <c r="C9" s="1" t="s">
        <v>319</v>
      </c>
      <c r="D9" s="37">
        <v>30000</v>
      </c>
      <c r="E9" s="38">
        <v>0</v>
      </c>
      <c r="F9" s="13">
        <f t="shared" si="0"/>
        <v>0</v>
      </c>
      <c r="G9" s="13">
        <v>0</v>
      </c>
      <c r="H9" s="13">
        <f t="shared" si="1"/>
        <v>0</v>
      </c>
      <c r="I9" s="13">
        <f t="shared" si="2"/>
        <v>0</v>
      </c>
      <c r="J9" s="13">
        <v>0</v>
      </c>
      <c r="K9" s="13">
        <v>0</v>
      </c>
      <c r="L9" s="13">
        <v>0</v>
      </c>
      <c r="M9" s="13">
        <v>0</v>
      </c>
      <c r="N9" s="13">
        <f t="shared" si="3"/>
        <v>0</v>
      </c>
      <c r="O9" t="s">
        <v>450</v>
      </c>
    </row>
    <row r="10" spans="1:17" x14ac:dyDescent="0.25">
      <c r="A10" s="10">
        <v>6</v>
      </c>
      <c r="B10" s="1" t="s">
        <v>20</v>
      </c>
      <c r="C10" s="1" t="s">
        <v>27</v>
      </c>
      <c r="D10" s="37">
        <v>54450</v>
      </c>
      <c r="E10" s="38">
        <v>0</v>
      </c>
      <c r="F10" s="13">
        <f t="shared" si="0"/>
        <v>0</v>
      </c>
      <c r="G10" s="13">
        <v>0</v>
      </c>
      <c r="H10" s="13">
        <f t="shared" si="1"/>
        <v>0</v>
      </c>
      <c r="I10" s="13">
        <f t="shared" si="2"/>
        <v>0</v>
      </c>
      <c r="J10" s="13">
        <v>0</v>
      </c>
      <c r="K10" s="13">
        <v>0</v>
      </c>
      <c r="L10" s="13">
        <v>0</v>
      </c>
      <c r="M10" s="13">
        <v>0</v>
      </c>
      <c r="N10" s="13">
        <f t="shared" si="3"/>
        <v>0</v>
      </c>
      <c r="O10" t="s">
        <v>452</v>
      </c>
    </row>
    <row r="11" spans="1:17" x14ac:dyDescent="0.25">
      <c r="A11" s="10">
        <v>7</v>
      </c>
      <c r="B11" s="1" t="s">
        <v>410</v>
      </c>
      <c r="C11" s="1" t="s">
        <v>411</v>
      </c>
      <c r="D11" s="37">
        <v>36000</v>
      </c>
      <c r="E11" s="38">
        <v>0</v>
      </c>
      <c r="F11" s="13">
        <f t="shared" si="0"/>
        <v>0</v>
      </c>
      <c r="G11" s="13">
        <v>0</v>
      </c>
      <c r="H11" s="13">
        <f t="shared" si="1"/>
        <v>0</v>
      </c>
      <c r="I11" s="13">
        <f t="shared" si="2"/>
        <v>0</v>
      </c>
      <c r="J11" s="13">
        <v>0</v>
      </c>
      <c r="K11" s="13">
        <v>0</v>
      </c>
      <c r="L11" s="13">
        <v>0</v>
      </c>
      <c r="M11" s="13">
        <v>0</v>
      </c>
      <c r="N11" s="13">
        <f t="shared" si="3"/>
        <v>0</v>
      </c>
      <c r="O11" t="s">
        <v>453</v>
      </c>
    </row>
    <row r="12" spans="1:17" x14ac:dyDescent="0.25">
      <c r="A12" s="10">
        <v>8</v>
      </c>
      <c r="B12" s="1" t="s">
        <v>19</v>
      </c>
      <c r="C12" s="1" t="s">
        <v>28</v>
      </c>
      <c r="D12" s="37">
        <v>39060</v>
      </c>
      <c r="E12" s="38">
        <v>0</v>
      </c>
      <c r="F12" s="13">
        <f t="shared" si="0"/>
        <v>0</v>
      </c>
      <c r="G12" s="13">
        <v>0</v>
      </c>
      <c r="H12" s="13">
        <f t="shared" si="1"/>
        <v>0</v>
      </c>
      <c r="I12" s="13">
        <f t="shared" si="2"/>
        <v>0</v>
      </c>
      <c r="J12" s="13">
        <v>0</v>
      </c>
      <c r="K12" s="13">
        <v>0</v>
      </c>
      <c r="L12" s="13">
        <v>0</v>
      </c>
      <c r="M12" s="13">
        <v>0</v>
      </c>
      <c r="N12" s="13">
        <f t="shared" si="3"/>
        <v>0</v>
      </c>
      <c r="O12" t="s">
        <v>454</v>
      </c>
    </row>
    <row r="13" spans="1:17" x14ac:dyDescent="0.25">
      <c r="A13" s="10">
        <v>9</v>
      </c>
      <c r="B13" s="16" t="s">
        <v>16</v>
      </c>
      <c r="C13" s="1" t="s">
        <v>31</v>
      </c>
      <c r="D13" s="37">
        <v>53260</v>
      </c>
      <c r="E13" s="38">
        <v>0</v>
      </c>
      <c r="F13" s="13">
        <f t="shared" si="0"/>
        <v>0</v>
      </c>
      <c r="G13" s="13">
        <v>0</v>
      </c>
      <c r="H13" s="13">
        <f t="shared" si="1"/>
        <v>0</v>
      </c>
      <c r="I13" s="13">
        <f t="shared" si="2"/>
        <v>0</v>
      </c>
      <c r="J13" s="13">
        <v>0</v>
      </c>
      <c r="K13" s="13">
        <v>0</v>
      </c>
      <c r="L13" s="13">
        <v>0</v>
      </c>
      <c r="M13" s="13">
        <v>0</v>
      </c>
      <c r="N13" s="13">
        <f t="shared" si="3"/>
        <v>0</v>
      </c>
      <c r="O13" t="s">
        <v>455</v>
      </c>
      <c r="P13" s="7"/>
    </row>
    <row r="14" spans="1:17" x14ac:dyDescent="0.25">
      <c r="A14" s="10">
        <v>10</v>
      </c>
      <c r="B14" s="1" t="s">
        <v>18</v>
      </c>
      <c r="C14" s="1" t="s">
        <v>29</v>
      </c>
      <c r="D14" s="37">
        <v>33000</v>
      </c>
      <c r="E14" s="38">
        <v>0</v>
      </c>
      <c r="F14" s="13">
        <f t="shared" si="0"/>
        <v>0</v>
      </c>
      <c r="G14" s="13">
        <v>0</v>
      </c>
      <c r="H14" s="13">
        <f t="shared" si="1"/>
        <v>0</v>
      </c>
      <c r="I14" s="13">
        <f t="shared" si="2"/>
        <v>0</v>
      </c>
      <c r="J14" s="13">
        <v>0</v>
      </c>
      <c r="K14" s="13">
        <v>0</v>
      </c>
      <c r="L14" s="13">
        <v>0</v>
      </c>
      <c r="M14" s="13">
        <v>0</v>
      </c>
      <c r="N14" s="13">
        <f t="shared" si="3"/>
        <v>0</v>
      </c>
      <c r="O14" t="s">
        <v>456</v>
      </c>
    </row>
    <row r="15" spans="1:17" x14ac:dyDescent="0.25">
      <c r="A15" s="10">
        <v>11</v>
      </c>
      <c r="B15" s="1" t="s">
        <v>277</v>
      </c>
      <c r="C15" s="1" t="s">
        <v>26</v>
      </c>
      <c r="D15" s="37">
        <v>32200</v>
      </c>
      <c r="E15" s="38">
        <v>0</v>
      </c>
      <c r="F15" s="13">
        <f t="shared" si="0"/>
        <v>0</v>
      </c>
      <c r="G15" s="13">
        <v>0</v>
      </c>
      <c r="H15" s="13">
        <f t="shared" si="1"/>
        <v>0</v>
      </c>
      <c r="I15" s="13">
        <f t="shared" si="2"/>
        <v>0</v>
      </c>
      <c r="J15" s="13">
        <v>0</v>
      </c>
      <c r="K15" s="13">
        <v>0</v>
      </c>
      <c r="L15" s="13">
        <v>0</v>
      </c>
      <c r="M15" s="13">
        <v>0</v>
      </c>
      <c r="N15" s="13">
        <f t="shared" si="3"/>
        <v>0</v>
      </c>
      <c r="O15" t="s">
        <v>454</v>
      </c>
    </row>
    <row r="16" spans="1:17" x14ac:dyDescent="0.25">
      <c r="A16" s="10">
        <v>12</v>
      </c>
      <c r="B16" s="1" t="s">
        <v>17</v>
      </c>
      <c r="C16" s="1" t="s">
        <v>30</v>
      </c>
      <c r="D16" s="37">
        <v>37200</v>
      </c>
      <c r="E16" s="38">
        <v>0</v>
      </c>
      <c r="F16" s="13">
        <f t="shared" si="0"/>
        <v>0</v>
      </c>
      <c r="G16" s="13">
        <v>0</v>
      </c>
      <c r="H16" s="13">
        <f t="shared" si="1"/>
        <v>0</v>
      </c>
      <c r="I16" s="13">
        <f t="shared" si="2"/>
        <v>0</v>
      </c>
      <c r="J16" s="13">
        <v>0</v>
      </c>
      <c r="K16" s="13">
        <v>0</v>
      </c>
      <c r="L16" s="13">
        <v>0</v>
      </c>
      <c r="M16" s="13">
        <v>0</v>
      </c>
      <c r="N16" s="13">
        <f t="shared" si="3"/>
        <v>0</v>
      </c>
      <c r="O16" t="s">
        <v>452</v>
      </c>
    </row>
    <row r="17" spans="1:18" x14ac:dyDescent="0.25">
      <c r="A17" s="10">
        <v>13</v>
      </c>
      <c r="B17" s="1" t="s">
        <v>21</v>
      </c>
      <c r="C17" s="1" t="s">
        <v>25</v>
      </c>
      <c r="D17" s="37">
        <v>33000</v>
      </c>
      <c r="E17" s="38">
        <v>0</v>
      </c>
      <c r="F17" s="13">
        <f t="shared" si="0"/>
        <v>0</v>
      </c>
      <c r="G17" s="13">
        <v>0</v>
      </c>
      <c r="H17" s="13">
        <f t="shared" si="1"/>
        <v>0</v>
      </c>
      <c r="I17" s="13">
        <f t="shared" si="2"/>
        <v>0</v>
      </c>
      <c r="J17" s="13">
        <v>0</v>
      </c>
      <c r="K17" s="13">
        <v>0</v>
      </c>
      <c r="L17" s="13">
        <v>0</v>
      </c>
      <c r="M17" s="13">
        <v>0</v>
      </c>
      <c r="N17" s="13">
        <f t="shared" si="3"/>
        <v>0</v>
      </c>
      <c r="O17" t="s">
        <v>452</v>
      </c>
    </row>
    <row r="18" spans="1:18" x14ac:dyDescent="0.25">
      <c r="A18" s="10">
        <v>14</v>
      </c>
      <c r="B18" s="1" t="s">
        <v>22</v>
      </c>
      <c r="C18" s="1" t="s">
        <v>245</v>
      </c>
      <c r="D18" s="37">
        <f>22000+2200</f>
        <v>24200</v>
      </c>
      <c r="E18" s="38">
        <v>0</v>
      </c>
      <c r="F18" s="13">
        <f t="shared" si="0"/>
        <v>0</v>
      </c>
      <c r="G18" s="13">
        <v>0</v>
      </c>
      <c r="H18" s="13">
        <f t="shared" si="1"/>
        <v>0</v>
      </c>
      <c r="I18" s="13">
        <f t="shared" si="2"/>
        <v>0</v>
      </c>
      <c r="J18" s="13">
        <v>0</v>
      </c>
      <c r="K18" s="13">
        <v>0</v>
      </c>
      <c r="L18" s="13">
        <v>0</v>
      </c>
      <c r="M18" s="13">
        <v>0</v>
      </c>
      <c r="N18" s="13">
        <f t="shared" si="3"/>
        <v>0</v>
      </c>
      <c r="O18" t="s">
        <v>457</v>
      </c>
    </row>
    <row r="19" spans="1:18" ht="15.75" thickBot="1" x14ac:dyDescent="0.3">
      <c r="A19" s="10">
        <v>15</v>
      </c>
      <c r="B19" s="1" t="s">
        <v>23</v>
      </c>
      <c r="C19" s="1" t="s">
        <v>24</v>
      </c>
      <c r="D19" s="37">
        <v>16000</v>
      </c>
      <c r="E19" s="38">
        <v>0</v>
      </c>
      <c r="F19" s="13">
        <f t="shared" si="0"/>
        <v>0</v>
      </c>
      <c r="G19" s="13">
        <v>0</v>
      </c>
      <c r="H19" s="13">
        <f t="shared" si="1"/>
        <v>0</v>
      </c>
      <c r="I19" s="13">
        <f t="shared" si="2"/>
        <v>0</v>
      </c>
      <c r="J19" s="13">
        <v>0</v>
      </c>
      <c r="K19" s="13">
        <v>0</v>
      </c>
      <c r="L19" s="13">
        <v>0</v>
      </c>
      <c r="M19" s="13">
        <v>0</v>
      </c>
      <c r="N19" s="13">
        <f t="shared" si="3"/>
        <v>0</v>
      </c>
      <c r="O19" t="s">
        <v>457</v>
      </c>
    </row>
    <row r="20" spans="1:18" ht="15.75" thickBot="1" x14ac:dyDescent="0.3">
      <c r="A20" s="9"/>
      <c r="B20" s="3" t="s">
        <v>11</v>
      </c>
      <c r="C20" s="3"/>
      <c r="D20" s="39">
        <f>SUM(D5:D19)</f>
        <v>558955</v>
      </c>
      <c r="E20" s="39">
        <f t="shared" ref="E20:N20" si="4">SUM(E5:E19)</f>
        <v>0</v>
      </c>
      <c r="F20" s="39">
        <f t="shared" si="4"/>
        <v>0</v>
      </c>
      <c r="G20" s="39">
        <f t="shared" si="4"/>
        <v>0</v>
      </c>
      <c r="H20" s="39">
        <f t="shared" si="4"/>
        <v>0</v>
      </c>
      <c r="I20" s="39">
        <f t="shared" si="4"/>
        <v>0</v>
      </c>
      <c r="J20" s="39">
        <f t="shared" si="4"/>
        <v>0</v>
      </c>
      <c r="K20" s="39">
        <f t="shared" si="4"/>
        <v>0</v>
      </c>
      <c r="L20" s="39">
        <f t="shared" si="4"/>
        <v>0</v>
      </c>
      <c r="M20" s="39">
        <f t="shared" si="4"/>
        <v>0</v>
      </c>
      <c r="N20" s="39">
        <f t="shared" si="4"/>
        <v>0</v>
      </c>
    </row>
    <row r="22" spans="1:18" x14ac:dyDescent="0.25">
      <c r="E22" s="40"/>
      <c r="F22" s="14"/>
    </row>
    <row r="23" spans="1:18" ht="15.75" thickBot="1" x14ac:dyDescent="0.3">
      <c r="C23" s="6" t="s">
        <v>33</v>
      </c>
    </row>
    <row r="24" spans="1:18" ht="15.75" thickBot="1" x14ac:dyDescent="0.3">
      <c r="A24" s="9" t="s">
        <v>0</v>
      </c>
      <c r="B24" s="3" t="s">
        <v>1</v>
      </c>
      <c r="C24" s="3" t="s">
        <v>2</v>
      </c>
      <c r="D24" s="35" t="s">
        <v>3</v>
      </c>
      <c r="E24" s="35" t="s">
        <v>4</v>
      </c>
      <c r="F24" s="35" t="s">
        <v>5</v>
      </c>
      <c r="G24" s="35" t="s">
        <v>6</v>
      </c>
      <c r="H24" s="35" t="s">
        <v>5</v>
      </c>
      <c r="I24" s="35" t="s">
        <v>7</v>
      </c>
      <c r="J24" s="35" t="s">
        <v>8</v>
      </c>
      <c r="K24" s="35" t="s">
        <v>8</v>
      </c>
      <c r="L24" s="35" t="s">
        <v>9</v>
      </c>
      <c r="M24" s="35" t="s">
        <v>467</v>
      </c>
      <c r="N24" s="12" t="s">
        <v>10</v>
      </c>
    </row>
    <row r="25" spans="1:18" x14ac:dyDescent="0.25">
      <c r="A25" s="10">
        <v>1</v>
      </c>
      <c r="B25" s="2" t="s">
        <v>35</v>
      </c>
      <c r="C25" s="2" t="s">
        <v>46</v>
      </c>
      <c r="D25" s="13">
        <v>110000</v>
      </c>
      <c r="E25" s="38">
        <v>0</v>
      </c>
      <c r="F25" s="13">
        <f t="shared" ref="F25:F34" si="5">+D25/31*E25</f>
        <v>0</v>
      </c>
      <c r="G25" s="13">
        <v>0</v>
      </c>
      <c r="H25" s="13">
        <f t="shared" ref="H25:H34" si="6">+D25/248*G25</f>
        <v>0</v>
      </c>
      <c r="I25" s="13">
        <f t="shared" ref="I25:I34" si="7">+F25+H25</f>
        <v>0</v>
      </c>
      <c r="J25" s="13">
        <v>0</v>
      </c>
      <c r="K25" s="13">
        <v>0</v>
      </c>
      <c r="L25" s="13">
        <v>0</v>
      </c>
      <c r="M25" s="13">
        <v>0</v>
      </c>
      <c r="N25" s="13">
        <f t="shared" ref="N25:N34" si="8">+J25-K25-L25-M25</f>
        <v>0</v>
      </c>
      <c r="O25" t="s">
        <v>456</v>
      </c>
      <c r="R25" s="7"/>
    </row>
    <row r="26" spans="1:18" x14ac:dyDescent="0.25">
      <c r="A26" s="11">
        <v>2</v>
      </c>
      <c r="B26" s="1" t="s">
        <v>36</v>
      </c>
      <c r="C26" s="2" t="s">
        <v>47</v>
      </c>
      <c r="D26" s="13">
        <v>97829</v>
      </c>
      <c r="E26" s="38">
        <v>0</v>
      </c>
      <c r="F26" s="13">
        <f t="shared" si="5"/>
        <v>0</v>
      </c>
      <c r="G26" s="13">
        <v>0</v>
      </c>
      <c r="H26" s="13">
        <f t="shared" si="6"/>
        <v>0</v>
      </c>
      <c r="I26" s="13">
        <f t="shared" si="7"/>
        <v>0</v>
      </c>
      <c r="J26" s="13">
        <v>0</v>
      </c>
      <c r="K26" s="13">
        <v>0</v>
      </c>
      <c r="L26" s="13">
        <v>0</v>
      </c>
      <c r="M26" s="13">
        <v>0</v>
      </c>
      <c r="N26" s="13">
        <f t="shared" si="8"/>
        <v>0</v>
      </c>
      <c r="O26" t="s">
        <v>456</v>
      </c>
      <c r="R26" s="7"/>
    </row>
    <row r="27" spans="1:18" x14ac:dyDescent="0.25">
      <c r="A27" s="10">
        <v>3</v>
      </c>
      <c r="B27" s="1" t="s">
        <v>37</v>
      </c>
      <c r="C27" s="2" t="s">
        <v>48</v>
      </c>
      <c r="D27" s="37">
        <v>102850</v>
      </c>
      <c r="E27" s="38">
        <v>0</v>
      </c>
      <c r="F27" s="13">
        <f t="shared" si="5"/>
        <v>0</v>
      </c>
      <c r="G27" s="13">
        <v>0</v>
      </c>
      <c r="H27" s="13">
        <f t="shared" si="6"/>
        <v>0</v>
      </c>
      <c r="I27" s="13">
        <f t="shared" si="7"/>
        <v>0</v>
      </c>
      <c r="J27" s="13">
        <v>0</v>
      </c>
      <c r="K27" s="13">
        <v>0</v>
      </c>
      <c r="L27" s="13">
        <v>0</v>
      </c>
      <c r="M27" s="13">
        <v>0</v>
      </c>
      <c r="N27" s="13">
        <f t="shared" si="8"/>
        <v>0</v>
      </c>
      <c r="O27" t="s">
        <v>456</v>
      </c>
      <c r="R27" s="7"/>
    </row>
    <row r="28" spans="1:18" x14ac:dyDescent="0.25">
      <c r="A28" s="11">
        <v>4</v>
      </c>
      <c r="B28" s="1" t="s">
        <v>373</v>
      </c>
      <c r="C28" s="2" t="s">
        <v>46</v>
      </c>
      <c r="D28" s="37">
        <v>110000</v>
      </c>
      <c r="E28" s="38">
        <v>0</v>
      </c>
      <c r="F28" s="13">
        <f t="shared" si="5"/>
        <v>0</v>
      </c>
      <c r="G28" s="13">
        <v>0</v>
      </c>
      <c r="H28" s="13">
        <f t="shared" si="6"/>
        <v>0</v>
      </c>
      <c r="I28" s="13">
        <f t="shared" si="7"/>
        <v>0</v>
      </c>
      <c r="J28" s="13">
        <v>0</v>
      </c>
      <c r="K28" s="13">
        <v>0</v>
      </c>
      <c r="L28" s="13">
        <v>0</v>
      </c>
      <c r="M28" s="13">
        <v>0</v>
      </c>
      <c r="N28" s="13">
        <f t="shared" si="8"/>
        <v>0</v>
      </c>
      <c r="O28" t="s">
        <v>456</v>
      </c>
      <c r="R28" s="7"/>
    </row>
    <row r="29" spans="1:18" x14ac:dyDescent="0.25">
      <c r="A29" s="10">
        <v>5</v>
      </c>
      <c r="B29" s="1" t="s">
        <v>38</v>
      </c>
      <c r="C29" s="2" t="s">
        <v>47</v>
      </c>
      <c r="D29" s="37">
        <v>45250</v>
      </c>
      <c r="E29" s="38">
        <v>0</v>
      </c>
      <c r="F29" s="13">
        <f t="shared" si="5"/>
        <v>0</v>
      </c>
      <c r="G29" s="13">
        <v>0</v>
      </c>
      <c r="H29" s="13">
        <f t="shared" si="6"/>
        <v>0</v>
      </c>
      <c r="I29" s="13">
        <f t="shared" si="7"/>
        <v>0</v>
      </c>
      <c r="J29" s="13">
        <v>0</v>
      </c>
      <c r="K29" s="13">
        <v>0</v>
      </c>
      <c r="L29" s="13">
        <v>0</v>
      </c>
      <c r="M29" s="13">
        <v>0</v>
      </c>
      <c r="N29" s="13">
        <f t="shared" si="8"/>
        <v>0</v>
      </c>
      <c r="O29" t="s">
        <v>456</v>
      </c>
      <c r="R29" s="7"/>
    </row>
    <row r="30" spans="1:18" x14ac:dyDescent="0.25">
      <c r="A30" s="11">
        <v>6</v>
      </c>
      <c r="B30" s="1" t="s">
        <v>39</v>
      </c>
      <c r="C30" s="2" t="s">
        <v>47</v>
      </c>
      <c r="D30" s="37">
        <v>59230</v>
      </c>
      <c r="E30" s="38">
        <v>0</v>
      </c>
      <c r="F30" s="13">
        <f t="shared" si="5"/>
        <v>0</v>
      </c>
      <c r="G30" s="13">
        <v>0</v>
      </c>
      <c r="H30" s="13">
        <f t="shared" si="6"/>
        <v>0</v>
      </c>
      <c r="I30" s="13">
        <f t="shared" si="7"/>
        <v>0</v>
      </c>
      <c r="J30" s="13">
        <v>0</v>
      </c>
      <c r="K30" s="13">
        <v>0</v>
      </c>
      <c r="L30" s="13">
        <v>0</v>
      </c>
      <c r="M30" s="13">
        <v>0</v>
      </c>
      <c r="N30" s="13">
        <f t="shared" si="8"/>
        <v>0</v>
      </c>
      <c r="O30" t="s">
        <v>456</v>
      </c>
      <c r="Q30" s="7"/>
      <c r="R30" s="7"/>
    </row>
    <row r="31" spans="1:18" x14ac:dyDescent="0.25">
      <c r="A31" s="10">
        <v>7</v>
      </c>
      <c r="B31" s="1" t="s">
        <v>40</v>
      </c>
      <c r="C31" s="2" t="s">
        <v>47</v>
      </c>
      <c r="D31" s="37">
        <v>57640</v>
      </c>
      <c r="E31" s="38">
        <v>0</v>
      </c>
      <c r="F31" s="13">
        <f t="shared" si="5"/>
        <v>0</v>
      </c>
      <c r="G31" s="13">
        <v>0</v>
      </c>
      <c r="H31" s="13">
        <f t="shared" si="6"/>
        <v>0</v>
      </c>
      <c r="I31" s="13">
        <f t="shared" si="7"/>
        <v>0</v>
      </c>
      <c r="J31" s="13">
        <v>0</v>
      </c>
      <c r="K31" s="13">
        <v>0</v>
      </c>
      <c r="L31" s="13">
        <v>0</v>
      </c>
      <c r="M31" s="13">
        <v>0</v>
      </c>
      <c r="N31" s="13">
        <f t="shared" si="8"/>
        <v>0</v>
      </c>
      <c r="O31" t="s">
        <v>456</v>
      </c>
      <c r="P31" s="7"/>
      <c r="Q31" s="7"/>
      <c r="R31" s="7"/>
    </row>
    <row r="32" spans="1:18" x14ac:dyDescent="0.25">
      <c r="A32" s="11">
        <v>8</v>
      </c>
      <c r="B32" s="1" t="s">
        <v>199</v>
      </c>
      <c r="C32" s="2" t="s">
        <v>47</v>
      </c>
      <c r="D32" s="37">
        <v>50000</v>
      </c>
      <c r="E32" s="38">
        <v>0</v>
      </c>
      <c r="F32" s="13">
        <f t="shared" si="5"/>
        <v>0</v>
      </c>
      <c r="G32" s="13">
        <v>0</v>
      </c>
      <c r="H32" s="13">
        <f t="shared" si="6"/>
        <v>0</v>
      </c>
      <c r="I32" s="13">
        <f t="shared" si="7"/>
        <v>0</v>
      </c>
      <c r="J32" s="13">
        <v>0</v>
      </c>
      <c r="K32" s="13">
        <v>0</v>
      </c>
      <c r="L32" s="13">
        <v>0</v>
      </c>
      <c r="M32" s="13">
        <v>0</v>
      </c>
      <c r="N32" s="13">
        <f t="shared" si="8"/>
        <v>0</v>
      </c>
      <c r="O32" t="s">
        <v>456</v>
      </c>
      <c r="Q32" s="7"/>
      <c r="R32" s="7"/>
    </row>
    <row r="33" spans="1:18" x14ac:dyDescent="0.25">
      <c r="A33" s="10">
        <v>9</v>
      </c>
      <c r="B33" s="1" t="s">
        <v>280</v>
      </c>
      <c r="C33" s="2" t="s">
        <v>45</v>
      </c>
      <c r="D33" s="37">
        <v>28000</v>
      </c>
      <c r="E33" s="38">
        <v>0</v>
      </c>
      <c r="F33" s="13">
        <f t="shared" si="5"/>
        <v>0</v>
      </c>
      <c r="G33" s="13">
        <v>0</v>
      </c>
      <c r="H33" s="13">
        <f t="shared" si="6"/>
        <v>0</v>
      </c>
      <c r="I33" s="13">
        <f t="shared" si="7"/>
        <v>0</v>
      </c>
      <c r="J33" s="13">
        <v>0</v>
      </c>
      <c r="K33" s="13">
        <v>0</v>
      </c>
      <c r="L33" s="13">
        <v>0</v>
      </c>
      <c r="M33" s="13">
        <v>0</v>
      </c>
      <c r="N33" s="13">
        <f t="shared" si="8"/>
        <v>0</v>
      </c>
      <c r="O33" t="s">
        <v>456</v>
      </c>
      <c r="Q33" s="7"/>
      <c r="R33" s="7"/>
    </row>
    <row r="34" spans="1:18" ht="15.75" thickBot="1" x14ac:dyDescent="0.3">
      <c r="A34" s="11">
        <v>10</v>
      </c>
      <c r="B34" s="1" t="s">
        <v>43</v>
      </c>
      <c r="C34" s="1" t="s">
        <v>44</v>
      </c>
      <c r="D34" s="37">
        <v>25000</v>
      </c>
      <c r="E34" s="38">
        <v>0</v>
      </c>
      <c r="F34" s="13">
        <f t="shared" si="5"/>
        <v>0</v>
      </c>
      <c r="G34" s="13">
        <v>0</v>
      </c>
      <c r="H34" s="13">
        <f t="shared" si="6"/>
        <v>0</v>
      </c>
      <c r="I34" s="13">
        <f t="shared" si="7"/>
        <v>0</v>
      </c>
      <c r="J34" s="13">
        <v>0</v>
      </c>
      <c r="K34" s="13">
        <v>0</v>
      </c>
      <c r="L34" s="13">
        <v>0</v>
      </c>
      <c r="M34" s="13">
        <v>0</v>
      </c>
      <c r="N34" s="13">
        <f t="shared" si="8"/>
        <v>0</v>
      </c>
      <c r="O34" t="s">
        <v>457</v>
      </c>
    </row>
    <row r="35" spans="1:18" ht="15.75" thickBot="1" x14ac:dyDescent="0.3">
      <c r="A35" s="9"/>
      <c r="B35" s="3" t="s">
        <v>11</v>
      </c>
      <c r="C35" s="3"/>
      <c r="D35" s="39">
        <f>SUM(D25:D34)</f>
        <v>685799</v>
      </c>
      <c r="E35" s="39">
        <f t="shared" ref="E35:N35" si="9">SUM(E25:E34)</f>
        <v>0</v>
      </c>
      <c r="F35" s="39">
        <f t="shared" si="9"/>
        <v>0</v>
      </c>
      <c r="G35" s="39">
        <f t="shared" si="9"/>
        <v>0</v>
      </c>
      <c r="H35" s="39">
        <f t="shared" si="9"/>
        <v>0</v>
      </c>
      <c r="I35" s="39">
        <f>SUM(I25:I34)</f>
        <v>0</v>
      </c>
      <c r="J35" s="39">
        <f>SUM(J25:J34)</f>
        <v>0</v>
      </c>
      <c r="K35" s="39">
        <f t="shared" si="9"/>
        <v>0</v>
      </c>
      <c r="L35" s="39">
        <f t="shared" si="9"/>
        <v>0</v>
      </c>
      <c r="M35" s="39">
        <f t="shared" si="9"/>
        <v>0</v>
      </c>
      <c r="N35" s="39">
        <f t="shared" si="9"/>
        <v>0</v>
      </c>
    </row>
    <row r="36" spans="1:18" x14ac:dyDescent="0.25">
      <c r="J36" s="14"/>
      <c r="N36" s="14"/>
    </row>
    <row r="37" spans="1:18" x14ac:dyDescent="0.25">
      <c r="D37" s="14"/>
      <c r="J37" s="14"/>
      <c r="N37" s="14"/>
    </row>
    <row r="38" spans="1:18" x14ac:dyDescent="0.25">
      <c r="N38" s="14"/>
    </row>
    <row r="41" spans="1:18" ht="15.75" thickBot="1" x14ac:dyDescent="0.3">
      <c r="C41" s="6" t="s">
        <v>34</v>
      </c>
    </row>
    <row r="42" spans="1:18" ht="15.75" thickBot="1" x14ac:dyDescent="0.3">
      <c r="A42" s="9" t="s">
        <v>0</v>
      </c>
      <c r="B42" s="3" t="s">
        <v>1</v>
      </c>
      <c r="C42" s="3" t="s">
        <v>2</v>
      </c>
      <c r="D42" s="35" t="s">
        <v>3</v>
      </c>
      <c r="E42" s="35" t="s">
        <v>4</v>
      </c>
      <c r="F42" s="35" t="s">
        <v>5</v>
      </c>
      <c r="G42" s="35" t="s">
        <v>6</v>
      </c>
      <c r="H42" s="35" t="s">
        <v>5</v>
      </c>
      <c r="I42" s="35" t="s">
        <v>7</v>
      </c>
      <c r="J42" s="35" t="s">
        <v>8</v>
      </c>
      <c r="K42" s="35" t="s">
        <v>8</v>
      </c>
      <c r="L42" s="35" t="s">
        <v>9</v>
      </c>
      <c r="M42" s="35" t="s">
        <v>467</v>
      </c>
      <c r="N42" s="12" t="s">
        <v>10</v>
      </c>
    </row>
    <row r="43" spans="1:18" x14ac:dyDescent="0.25">
      <c r="A43" s="10">
        <v>1</v>
      </c>
      <c r="B43" s="2" t="s">
        <v>49</v>
      </c>
      <c r="C43" s="2" t="s">
        <v>57</v>
      </c>
      <c r="D43" s="13">
        <v>73200</v>
      </c>
      <c r="E43" s="38">
        <v>0</v>
      </c>
      <c r="F43" s="13">
        <f t="shared" ref="F43:F50" si="10">+D43/31*E43</f>
        <v>0</v>
      </c>
      <c r="G43" s="13">
        <v>0</v>
      </c>
      <c r="H43" s="13">
        <f t="shared" ref="H43:H50" si="11">+D43/248*G43</f>
        <v>0</v>
      </c>
      <c r="I43" s="13">
        <f t="shared" ref="I43:I50" si="12">+F43+H43</f>
        <v>0</v>
      </c>
      <c r="J43" s="13">
        <v>0</v>
      </c>
      <c r="K43" s="13">
        <v>0</v>
      </c>
      <c r="L43" s="13">
        <v>0</v>
      </c>
      <c r="M43" s="13">
        <v>0</v>
      </c>
      <c r="N43" s="13">
        <f t="shared" ref="N43:N50" si="13">+J43-K43-L43-M43</f>
        <v>0</v>
      </c>
      <c r="O43" t="s">
        <v>456</v>
      </c>
    </row>
    <row r="44" spans="1:18" x14ac:dyDescent="0.25">
      <c r="A44" s="11">
        <v>2</v>
      </c>
      <c r="B44" s="1" t="s">
        <v>50</v>
      </c>
      <c r="C44" s="2" t="s">
        <v>45</v>
      </c>
      <c r="D44" s="13">
        <f>56360+5000</f>
        <v>61360</v>
      </c>
      <c r="E44" s="38">
        <v>0</v>
      </c>
      <c r="F44" s="13">
        <f t="shared" si="10"/>
        <v>0</v>
      </c>
      <c r="G44" s="13">
        <v>0</v>
      </c>
      <c r="H44" s="13">
        <f t="shared" si="11"/>
        <v>0</v>
      </c>
      <c r="I44" s="13">
        <f t="shared" si="12"/>
        <v>0</v>
      </c>
      <c r="J44" s="13">
        <v>0</v>
      </c>
      <c r="K44" s="13">
        <v>0</v>
      </c>
      <c r="L44" s="13">
        <v>0</v>
      </c>
      <c r="M44" s="13">
        <v>0</v>
      </c>
      <c r="N44" s="13">
        <f t="shared" si="13"/>
        <v>0</v>
      </c>
      <c r="O44" t="s">
        <v>454</v>
      </c>
    </row>
    <row r="45" spans="1:18" x14ac:dyDescent="0.25">
      <c r="A45" s="10">
        <v>3</v>
      </c>
      <c r="B45" s="1" t="s">
        <v>51</v>
      </c>
      <c r="C45" s="1" t="s">
        <v>58</v>
      </c>
      <c r="D45" s="37">
        <v>38650</v>
      </c>
      <c r="E45" s="38">
        <v>0</v>
      </c>
      <c r="F45" s="13">
        <f t="shared" si="10"/>
        <v>0</v>
      </c>
      <c r="G45" s="13">
        <v>0</v>
      </c>
      <c r="H45" s="13">
        <f t="shared" si="11"/>
        <v>0</v>
      </c>
      <c r="I45" s="13">
        <f t="shared" si="12"/>
        <v>0</v>
      </c>
      <c r="J45" s="13">
        <v>0</v>
      </c>
      <c r="K45" s="13">
        <v>0</v>
      </c>
      <c r="L45" s="13">
        <v>0</v>
      </c>
      <c r="M45" s="13">
        <v>0</v>
      </c>
      <c r="N45" s="13">
        <f t="shared" si="13"/>
        <v>0</v>
      </c>
      <c r="O45" t="s">
        <v>454</v>
      </c>
    </row>
    <row r="46" spans="1:18" x14ac:dyDescent="0.25">
      <c r="A46" s="11">
        <v>4</v>
      </c>
      <c r="B46" s="1" t="s">
        <v>52</v>
      </c>
      <c r="C46" s="1" t="s">
        <v>58</v>
      </c>
      <c r="D46" s="37">
        <v>38650</v>
      </c>
      <c r="E46" s="38">
        <v>0</v>
      </c>
      <c r="F46" s="13">
        <f t="shared" si="10"/>
        <v>0</v>
      </c>
      <c r="G46" s="13">
        <v>0</v>
      </c>
      <c r="H46" s="13">
        <f t="shared" si="11"/>
        <v>0</v>
      </c>
      <c r="I46" s="13">
        <f t="shared" si="12"/>
        <v>0</v>
      </c>
      <c r="J46" s="13">
        <v>0</v>
      </c>
      <c r="K46" s="13">
        <v>0</v>
      </c>
      <c r="L46" s="13">
        <v>0</v>
      </c>
      <c r="M46" s="13">
        <v>0</v>
      </c>
      <c r="N46" s="13">
        <f t="shared" si="13"/>
        <v>0</v>
      </c>
      <c r="O46" t="s">
        <v>454</v>
      </c>
    </row>
    <row r="47" spans="1:18" x14ac:dyDescent="0.25">
      <c r="A47" s="10">
        <v>5</v>
      </c>
      <c r="B47" s="1" t="s">
        <v>53</v>
      </c>
      <c r="C47" s="1" t="s">
        <v>59</v>
      </c>
      <c r="D47" s="37">
        <v>29700</v>
      </c>
      <c r="E47" s="38">
        <v>0</v>
      </c>
      <c r="F47" s="13">
        <f t="shared" si="10"/>
        <v>0</v>
      </c>
      <c r="G47" s="13">
        <v>0</v>
      </c>
      <c r="H47" s="13">
        <f t="shared" si="11"/>
        <v>0</v>
      </c>
      <c r="I47" s="13">
        <f t="shared" si="12"/>
        <v>0</v>
      </c>
      <c r="J47" s="13">
        <v>0</v>
      </c>
      <c r="K47" s="13">
        <v>0</v>
      </c>
      <c r="L47" s="13">
        <v>0</v>
      </c>
      <c r="M47" s="13">
        <v>0</v>
      </c>
      <c r="N47" s="13">
        <f t="shared" si="13"/>
        <v>0</v>
      </c>
      <c r="O47" t="s">
        <v>454</v>
      </c>
    </row>
    <row r="48" spans="1:18" x14ac:dyDescent="0.25">
      <c r="A48" s="11">
        <v>6</v>
      </c>
      <c r="B48" s="16" t="s">
        <v>54</v>
      </c>
      <c r="C48" s="1" t="s">
        <v>60</v>
      </c>
      <c r="D48" s="37">
        <v>25000</v>
      </c>
      <c r="E48" s="38">
        <v>0</v>
      </c>
      <c r="F48" s="13">
        <f t="shared" si="10"/>
        <v>0</v>
      </c>
      <c r="G48" s="13">
        <v>0</v>
      </c>
      <c r="H48" s="13">
        <f t="shared" si="11"/>
        <v>0</v>
      </c>
      <c r="I48" s="13">
        <f t="shared" si="12"/>
        <v>0</v>
      </c>
      <c r="J48" s="13">
        <v>0</v>
      </c>
      <c r="K48" s="13">
        <v>0</v>
      </c>
      <c r="L48" s="13">
        <v>0</v>
      </c>
      <c r="M48" s="13">
        <v>0</v>
      </c>
      <c r="N48" s="13">
        <f t="shared" si="13"/>
        <v>0</v>
      </c>
      <c r="O48" t="s">
        <v>454</v>
      </c>
    </row>
    <row r="49" spans="1:15" x14ac:dyDescent="0.25">
      <c r="A49" s="10">
        <v>7</v>
      </c>
      <c r="B49" s="16" t="s">
        <v>374</v>
      </c>
      <c r="C49" s="1" t="s">
        <v>60</v>
      </c>
      <c r="D49" s="37">
        <v>25000</v>
      </c>
      <c r="E49" s="38">
        <v>0</v>
      </c>
      <c r="F49" s="13">
        <f t="shared" si="10"/>
        <v>0</v>
      </c>
      <c r="G49" s="13">
        <v>0</v>
      </c>
      <c r="H49" s="13">
        <f t="shared" si="11"/>
        <v>0</v>
      </c>
      <c r="I49" s="13">
        <f t="shared" si="12"/>
        <v>0</v>
      </c>
      <c r="J49" s="13">
        <v>0</v>
      </c>
      <c r="K49" s="13">
        <v>0</v>
      </c>
      <c r="L49" s="13">
        <v>0</v>
      </c>
      <c r="M49" s="13">
        <v>0</v>
      </c>
      <c r="N49" s="13">
        <f t="shared" si="13"/>
        <v>0</v>
      </c>
      <c r="O49" t="s">
        <v>454</v>
      </c>
    </row>
    <row r="50" spans="1:15" ht="15.75" thickBot="1" x14ac:dyDescent="0.3">
      <c r="A50" s="11">
        <v>8</v>
      </c>
      <c r="B50" s="1" t="s">
        <v>55</v>
      </c>
      <c r="C50" s="1" t="s">
        <v>56</v>
      </c>
      <c r="D50" s="37">
        <v>35430</v>
      </c>
      <c r="E50" s="38">
        <v>0</v>
      </c>
      <c r="F50" s="13">
        <f t="shared" si="10"/>
        <v>0</v>
      </c>
      <c r="G50" s="13">
        <v>0</v>
      </c>
      <c r="H50" s="13">
        <f t="shared" si="11"/>
        <v>0</v>
      </c>
      <c r="I50" s="13">
        <f t="shared" si="12"/>
        <v>0</v>
      </c>
      <c r="J50" s="13">
        <v>0</v>
      </c>
      <c r="K50" s="13">
        <v>0</v>
      </c>
      <c r="L50" s="13">
        <v>0</v>
      </c>
      <c r="M50" s="13">
        <v>0</v>
      </c>
      <c r="N50" s="13">
        <f t="shared" si="13"/>
        <v>0</v>
      </c>
      <c r="O50" t="s">
        <v>454</v>
      </c>
    </row>
    <row r="51" spans="1:15" ht="15.75" thickBot="1" x14ac:dyDescent="0.3">
      <c r="A51" s="9"/>
      <c r="B51" s="3" t="s">
        <v>11</v>
      </c>
      <c r="C51" s="3"/>
      <c r="D51" s="39">
        <f>SUM(D43:D50)</f>
        <v>326990</v>
      </c>
      <c r="E51" s="39">
        <f t="shared" ref="E51:N51" si="14">SUM(E43:E50)</f>
        <v>0</v>
      </c>
      <c r="F51" s="39">
        <f t="shared" si="14"/>
        <v>0</v>
      </c>
      <c r="G51" s="39">
        <f t="shared" si="14"/>
        <v>0</v>
      </c>
      <c r="H51" s="39">
        <f t="shared" si="14"/>
        <v>0</v>
      </c>
      <c r="I51" s="39">
        <f t="shared" si="14"/>
        <v>0</v>
      </c>
      <c r="J51" s="39">
        <f t="shared" si="14"/>
        <v>0</v>
      </c>
      <c r="K51" s="39">
        <f t="shared" si="14"/>
        <v>0</v>
      </c>
      <c r="L51" s="39">
        <f t="shared" si="14"/>
        <v>0</v>
      </c>
      <c r="M51" s="39">
        <f t="shared" si="14"/>
        <v>0</v>
      </c>
      <c r="N51" s="39">
        <f t="shared" si="14"/>
        <v>0</v>
      </c>
    </row>
    <row r="58" spans="1:15" ht="15.75" thickBot="1" x14ac:dyDescent="0.3">
      <c r="C58" s="6" t="s">
        <v>61</v>
      </c>
    </row>
    <row r="59" spans="1:15" ht="15.75" thickBot="1" x14ac:dyDescent="0.3">
      <c r="A59" s="9" t="s">
        <v>0</v>
      </c>
      <c r="B59" s="3" t="s">
        <v>1</v>
      </c>
      <c r="C59" s="3" t="s">
        <v>2</v>
      </c>
      <c r="D59" s="35" t="s">
        <v>3</v>
      </c>
      <c r="E59" s="35" t="s">
        <v>4</v>
      </c>
      <c r="F59" s="35" t="s">
        <v>5</v>
      </c>
      <c r="G59" s="35" t="s">
        <v>6</v>
      </c>
      <c r="H59" s="35" t="s">
        <v>5</v>
      </c>
      <c r="I59" s="35" t="s">
        <v>7</v>
      </c>
      <c r="J59" s="35" t="s">
        <v>8</v>
      </c>
      <c r="K59" s="35" t="s">
        <v>8</v>
      </c>
      <c r="L59" s="35" t="s">
        <v>9</v>
      </c>
      <c r="M59" s="35" t="s">
        <v>467</v>
      </c>
      <c r="N59" s="12" t="s">
        <v>10</v>
      </c>
    </row>
    <row r="60" spans="1:15" x14ac:dyDescent="0.25">
      <c r="A60" s="10">
        <v>1</v>
      </c>
      <c r="B60" s="1" t="s">
        <v>62</v>
      </c>
      <c r="C60" s="2" t="s">
        <v>69</v>
      </c>
      <c r="D60" s="13">
        <v>50000</v>
      </c>
      <c r="E60" s="38">
        <v>0</v>
      </c>
      <c r="F60" s="13">
        <f t="shared" ref="F60:F71" si="15">+D60/31*E60</f>
        <v>0</v>
      </c>
      <c r="G60" s="13">
        <v>0</v>
      </c>
      <c r="H60" s="13">
        <f t="shared" ref="H60:H71" si="16">+D60/248*G60</f>
        <v>0</v>
      </c>
      <c r="I60" s="13">
        <f t="shared" ref="I60:I71" si="17">+F60+H60</f>
        <v>0</v>
      </c>
      <c r="J60" s="13">
        <v>0</v>
      </c>
      <c r="K60" s="13">
        <v>0</v>
      </c>
      <c r="L60" s="13">
        <v>0</v>
      </c>
      <c r="M60" s="13">
        <v>0</v>
      </c>
      <c r="N60" s="13">
        <f t="shared" ref="N60:N71" si="18">+J60-K60-L60-M60</f>
        <v>0</v>
      </c>
      <c r="O60" t="s">
        <v>454</v>
      </c>
    </row>
    <row r="61" spans="1:15" x14ac:dyDescent="0.25">
      <c r="A61" s="10">
        <v>2</v>
      </c>
      <c r="B61" s="1" t="s">
        <v>144</v>
      </c>
      <c r="C61" s="2" t="s">
        <v>45</v>
      </c>
      <c r="D61" s="13">
        <v>35000</v>
      </c>
      <c r="E61" s="38">
        <v>0</v>
      </c>
      <c r="F61" s="13">
        <f t="shared" si="15"/>
        <v>0</v>
      </c>
      <c r="G61" s="13">
        <v>0</v>
      </c>
      <c r="H61" s="13">
        <f t="shared" si="16"/>
        <v>0</v>
      </c>
      <c r="I61" s="13">
        <f t="shared" si="17"/>
        <v>0</v>
      </c>
      <c r="J61" s="13">
        <v>0</v>
      </c>
      <c r="K61" s="13">
        <v>0</v>
      </c>
      <c r="L61" s="13">
        <v>0</v>
      </c>
      <c r="M61" s="13">
        <v>0</v>
      </c>
      <c r="N61" s="13">
        <f t="shared" si="18"/>
        <v>0</v>
      </c>
      <c r="O61" t="s">
        <v>454</v>
      </c>
    </row>
    <row r="62" spans="1:15" x14ac:dyDescent="0.25">
      <c r="A62" s="10">
        <v>3</v>
      </c>
      <c r="B62" s="1" t="s">
        <v>155</v>
      </c>
      <c r="C62" s="1" t="s">
        <v>70</v>
      </c>
      <c r="D62" s="37">
        <v>31180</v>
      </c>
      <c r="E62" s="38">
        <v>0</v>
      </c>
      <c r="F62" s="13">
        <f t="shared" si="15"/>
        <v>0</v>
      </c>
      <c r="G62" s="13">
        <v>0</v>
      </c>
      <c r="H62" s="13">
        <f t="shared" si="16"/>
        <v>0</v>
      </c>
      <c r="I62" s="13">
        <f t="shared" si="17"/>
        <v>0</v>
      </c>
      <c r="J62" s="13">
        <v>0</v>
      </c>
      <c r="K62" s="13">
        <v>0</v>
      </c>
      <c r="L62" s="13">
        <v>0</v>
      </c>
      <c r="M62" s="13">
        <v>0</v>
      </c>
      <c r="N62" s="13">
        <f t="shared" si="18"/>
        <v>0</v>
      </c>
      <c r="O62" t="s">
        <v>454</v>
      </c>
    </row>
    <row r="63" spans="1:15" x14ac:dyDescent="0.25">
      <c r="A63" s="10">
        <v>4</v>
      </c>
      <c r="B63" s="1" t="s">
        <v>63</v>
      </c>
      <c r="C63" s="1" t="s">
        <v>69</v>
      </c>
      <c r="D63" s="37">
        <v>43560</v>
      </c>
      <c r="E63" s="38">
        <v>0</v>
      </c>
      <c r="F63" s="13">
        <f t="shared" si="15"/>
        <v>0</v>
      </c>
      <c r="G63" s="13">
        <v>0</v>
      </c>
      <c r="H63" s="13">
        <f t="shared" si="16"/>
        <v>0</v>
      </c>
      <c r="I63" s="13">
        <f t="shared" si="17"/>
        <v>0</v>
      </c>
      <c r="J63" s="13">
        <v>0</v>
      </c>
      <c r="K63" s="13">
        <v>0</v>
      </c>
      <c r="L63" s="13">
        <v>0</v>
      </c>
      <c r="M63" s="13">
        <v>0</v>
      </c>
      <c r="N63" s="13">
        <f t="shared" si="18"/>
        <v>0</v>
      </c>
      <c r="O63" t="s">
        <v>454</v>
      </c>
    </row>
    <row r="64" spans="1:15" x14ac:dyDescent="0.25">
      <c r="A64" s="10">
        <v>5</v>
      </c>
      <c r="B64" s="1" t="s">
        <v>64</v>
      </c>
      <c r="C64" s="1" t="s">
        <v>70</v>
      </c>
      <c r="D64" s="37">
        <v>31180</v>
      </c>
      <c r="E64" s="38">
        <v>0</v>
      </c>
      <c r="F64" s="13">
        <f t="shared" si="15"/>
        <v>0</v>
      </c>
      <c r="G64" s="13">
        <v>0</v>
      </c>
      <c r="H64" s="13">
        <f t="shared" si="16"/>
        <v>0</v>
      </c>
      <c r="I64" s="13">
        <f t="shared" si="17"/>
        <v>0</v>
      </c>
      <c r="J64" s="13">
        <v>0</v>
      </c>
      <c r="K64" s="13">
        <v>0</v>
      </c>
      <c r="L64" s="13">
        <v>0</v>
      </c>
      <c r="M64" s="13">
        <v>0</v>
      </c>
      <c r="N64" s="13">
        <f t="shared" si="18"/>
        <v>0</v>
      </c>
      <c r="O64" t="s">
        <v>454</v>
      </c>
    </row>
    <row r="65" spans="1:17" x14ac:dyDescent="0.25">
      <c r="A65" s="10">
        <v>6</v>
      </c>
      <c r="B65" s="1" t="s">
        <v>65</v>
      </c>
      <c r="C65" s="1" t="s">
        <v>70</v>
      </c>
      <c r="D65" s="37">
        <v>33300</v>
      </c>
      <c r="E65" s="38">
        <v>0</v>
      </c>
      <c r="F65" s="13">
        <f t="shared" si="15"/>
        <v>0</v>
      </c>
      <c r="G65" s="13">
        <v>0</v>
      </c>
      <c r="H65" s="13">
        <f t="shared" si="16"/>
        <v>0</v>
      </c>
      <c r="I65" s="13">
        <f t="shared" si="17"/>
        <v>0</v>
      </c>
      <c r="J65" s="13">
        <v>0</v>
      </c>
      <c r="K65" s="13">
        <v>0</v>
      </c>
      <c r="L65" s="13">
        <v>0</v>
      </c>
      <c r="M65" s="13">
        <v>0</v>
      </c>
      <c r="N65" s="13">
        <f t="shared" si="18"/>
        <v>0</v>
      </c>
      <c r="O65" t="s">
        <v>454</v>
      </c>
    </row>
    <row r="66" spans="1:17" x14ac:dyDescent="0.25">
      <c r="A66" s="10">
        <v>7</v>
      </c>
      <c r="B66" s="1" t="s">
        <v>68</v>
      </c>
      <c r="C66" s="1" t="s">
        <v>70</v>
      </c>
      <c r="D66" s="37">
        <v>31180</v>
      </c>
      <c r="E66" s="38">
        <v>0</v>
      </c>
      <c r="F66" s="13">
        <f t="shared" si="15"/>
        <v>0</v>
      </c>
      <c r="G66" s="13">
        <v>0</v>
      </c>
      <c r="H66" s="13">
        <f t="shared" si="16"/>
        <v>0</v>
      </c>
      <c r="I66" s="13">
        <f t="shared" si="17"/>
        <v>0</v>
      </c>
      <c r="J66" s="13">
        <v>0</v>
      </c>
      <c r="K66" s="13">
        <v>0</v>
      </c>
      <c r="L66" s="13">
        <v>0</v>
      </c>
      <c r="M66" s="13">
        <v>0</v>
      </c>
      <c r="N66" s="13">
        <f t="shared" si="18"/>
        <v>0</v>
      </c>
      <c r="O66" t="s">
        <v>454</v>
      </c>
    </row>
    <row r="67" spans="1:17" x14ac:dyDescent="0.25">
      <c r="A67" s="10">
        <v>8</v>
      </c>
      <c r="B67" s="1" t="s">
        <v>66</v>
      </c>
      <c r="C67" s="1" t="s">
        <v>45</v>
      </c>
      <c r="D67" s="37">
        <v>33480</v>
      </c>
      <c r="E67" s="38">
        <v>0</v>
      </c>
      <c r="F67" s="13">
        <f t="shared" si="15"/>
        <v>0</v>
      </c>
      <c r="G67" s="13">
        <v>0</v>
      </c>
      <c r="H67" s="13">
        <f t="shared" si="16"/>
        <v>0</v>
      </c>
      <c r="I67" s="13">
        <f t="shared" si="17"/>
        <v>0</v>
      </c>
      <c r="J67" s="13">
        <v>0</v>
      </c>
      <c r="K67" s="13">
        <v>0</v>
      </c>
      <c r="L67" s="13">
        <v>0</v>
      </c>
      <c r="M67" s="13">
        <v>0</v>
      </c>
      <c r="N67" s="13">
        <f t="shared" si="18"/>
        <v>0</v>
      </c>
      <c r="O67" t="s">
        <v>454</v>
      </c>
      <c r="P67" s="7"/>
      <c r="Q67" s="7"/>
    </row>
    <row r="68" spans="1:17" x14ac:dyDescent="0.25">
      <c r="A68" s="10">
        <v>9</v>
      </c>
      <c r="B68" s="1" t="s">
        <v>282</v>
      </c>
      <c r="C68" s="1" t="s">
        <v>69</v>
      </c>
      <c r="D68" s="37">
        <v>75000</v>
      </c>
      <c r="E68" s="38">
        <v>0</v>
      </c>
      <c r="F68" s="13">
        <f t="shared" si="15"/>
        <v>0</v>
      </c>
      <c r="G68" s="13">
        <v>0</v>
      </c>
      <c r="H68" s="13">
        <f t="shared" si="16"/>
        <v>0</v>
      </c>
      <c r="I68" s="13">
        <f t="shared" si="17"/>
        <v>0</v>
      </c>
      <c r="J68" s="13">
        <v>0</v>
      </c>
      <c r="K68" s="13">
        <v>0</v>
      </c>
      <c r="L68" s="13">
        <v>0</v>
      </c>
      <c r="M68" s="13">
        <v>0</v>
      </c>
      <c r="N68" s="13">
        <f t="shared" si="18"/>
        <v>0</v>
      </c>
      <c r="O68" t="s">
        <v>456</v>
      </c>
    </row>
    <row r="69" spans="1:17" x14ac:dyDescent="0.25">
      <c r="A69" s="10">
        <v>10</v>
      </c>
      <c r="B69" s="1" t="s">
        <v>269</v>
      </c>
      <c r="C69" s="1" t="s">
        <v>45</v>
      </c>
      <c r="D69" s="37">
        <v>35000</v>
      </c>
      <c r="E69" s="38">
        <v>0</v>
      </c>
      <c r="F69" s="13">
        <f t="shared" si="15"/>
        <v>0</v>
      </c>
      <c r="G69" s="13">
        <v>0</v>
      </c>
      <c r="H69" s="13">
        <f t="shared" si="16"/>
        <v>0</v>
      </c>
      <c r="I69" s="13">
        <f t="shared" si="17"/>
        <v>0</v>
      </c>
      <c r="J69" s="13">
        <v>0</v>
      </c>
      <c r="K69" s="13">
        <v>0</v>
      </c>
      <c r="L69" s="13">
        <v>0</v>
      </c>
      <c r="M69" s="13">
        <v>0</v>
      </c>
      <c r="N69" s="13">
        <f t="shared" si="18"/>
        <v>0</v>
      </c>
      <c r="O69" t="s">
        <v>454</v>
      </c>
      <c r="Q69" s="7"/>
    </row>
    <row r="70" spans="1:17" x14ac:dyDescent="0.25">
      <c r="A70" s="10">
        <v>11</v>
      </c>
      <c r="B70" s="1" t="s">
        <v>270</v>
      </c>
      <c r="C70" s="1" t="s">
        <v>45</v>
      </c>
      <c r="D70" s="37">
        <v>35000</v>
      </c>
      <c r="E70" s="38">
        <v>0</v>
      </c>
      <c r="F70" s="13">
        <f t="shared" si="15"/>
        <v>0</v>
      </c>
      <c r="G70" s="13">
        <v>0</v>
      </c>
      <c r="H70" s="13">
        <f t="shared" si="16"/>
        <v>0</v>
      </c>
      <c r="I70" s="13">
        <f t="shared" si="17"/>
        <v>0</v>
      </c>
      <c r="J70" s="13">
        <v>0</v>
      </c>
      <c r="K70" s="13">
        <v>0</v>
      </c>
      <c r="L70" s="13">
        <v>0</v>
      </c>
      <c r="M70" s="13">
        <v>0</v>
      </c>
      <c r="N70" s="13">
        <f t="shared" si="18"/>
        <v>0</v>
      </c>
      <c r="O70" t="s">
        <v>454</v>
      </c>
    </row>
    <row r="71" spans="1:17" ht="15.75" thickBot="1" x14ac:dyDescent="0.3">
      <c r="A71" s="10">
        <v>12</v>
      </c>
      <c r="B71" s="1" t="s">
        <v>338</v>
      </c>
      <c r="C71" s="1" t="s">
        <v>70</v>
      </c>
      <c r="D71" s="37">
        <v>28000</v>
      </c>
      <c r="E71" s="38">
        <v>0</v>
      </c>
      <c r="F71" s="13">
        <f t="shared" si="15"/>
        <v>0</v>
      </c>
      <c r="G71" s="13">
        <v>0</v>
      </c>
      <c r="H71" s="13">
        <f t="shared" si="16"/>
        <v>0</v>
      </c>
      <c r="I71" s="13">
        <f t="shared" si="17"/>
        <v>0</v>
      </c>
      <c r="J71" s="13">
        <v>0</v>
      </c>
      <c r="K71" s="13">
        <v>0</v>
      </c>
      <c r="L71" s="13">
        <v>0</v>
      </c>
      <c r="M71" s="13">
        <v>0</v>
      </c>
      <c r="N71" s="13">
        <f t="shared" si="18"/>
        <v>0</v>
      </c>
      <c r="O71" t="s">
        <v>454</v>
      </c>
    </row>
    <row r="72" spans="1:17" ht="15.75" thickBot="1" x14ac:dyDescent="0.3">
      <c r="A72" s="9"/>
      <c r="B72" s="3" t="s">
        <v>11</v>
      </c>
      <c r="C72" s="3"/>
      <c r="D72" s="39">
        <f>SUM(D60:D71)</f>
        <v>461880</v>
      </c>
      <c r="E72" s="39">
        <f t="shared" ref="E72:N72" si="19">SUM(E60:E71)</f>
        <v>0</v>
      </c>
      <c r="F72" s="39">
        <f t="shared" si="19"/>
        <v>0</v>
      </c>
      <c r="G72" s="39">
        <f t="shared" si="19"/>
        <v>0</v>
      </c>
      <c r="H72" s="39">
        <f t="shared" si="19"/>
        <v>0</v>
      </c>
      <c r="I72" s="39">
        <f t="shared" si="19"/>
        <v>0</v>
      </c>
      <c r="J72" s="39">
        <f t="shared" si="19"/>
        <v>0</v>
      </c>
      <c r="K72" s="39">
        <f t="shared" si="19"/>
        <v>0</v>
      </c>
      <c r="L72" s="39">
        <f t="shared" si="19"/>
        <v>0</v>
      </c>
      <c r="M72" s="39">
        <f t="shared" si="19"/>
        <v>0</v>
      </c>
      <c r="N72" s="39">
        <f t="shared" si="19"/>
        <v>0</v>
      </c>
    </row>
    <row r="79" spans="1:17" ht="15.75" thickBot="1" x14ac:dyDescent="0.3">
      <c r="C79" s="6" t="s">
        <v>258</v>
      </c>
    </row>
    <row r="80" spans="1:17" ht="15.75" thickBot="1" x14ac:dyDescent="0.3">
      <c r="A80" s="9" t="s">
        <v>0</v>
      </c>
      <c r="B80" s="3" t="s">
        <v>1</v>
      </c>
      <c r="C80" s="3" t="s">
        <v>2</v>
      </c>
      <c r="D80" s="35" t="s">
        <v>3</v>
      </c>
      <c r="E80" s="35" t="s">
        <v>4</v>
      </c>
      <c r="F80" s="35" t="s">
        <v>5</v>
      </c>
      <c r="G80" s="35" t="s">
        <v>6</v>
      </c>
      <c r="H80" s="35" t="s">
        <v>5</v>
      </c>
      <c r="I80" s="35" t="s">
        <v>7</v>
      </c>
      <c r="J80" s="35" t="s">
        <v>8</v>
      </c>
      <c r="K80" s="35" t="s">
        <v>8</v>
      </c>
      <c r="L80" s="35" t="s">
        <v>9</v>
      </c>
      <c r="M80" s="35" t="s">
        <v>467</v>
      </c>
      <c r="N80" s="12" t="s">
        <v>10</v>
      </c>
    </row>
    <row r="81" spans="1:15" x14ac:dyDescent="0.25">
      <c r="A81" s="10">
        <v>1</v>
      </c>
      <c r="B81" s="2" t="s">
        <v>71</v>
      </c>
      <c r="C81" s="2" t="s">
        <v>57</v>
      </c>
      <c r="D81" s="13">
        <v>100000</v>
      </c>
      <c r="E81" s="38">
        <v>0</v>
      </c>
      <c r="F81" s="13">
        <f t="shared" ref="F81:F89" si="20">+D81/31*E81</f>
        <v>0</v>
      </c>
      <c r="G81" s="13">
        <v>0</v>
      </c>
      <c r="H81" s="13">
        <f t="shared" ref="H81:H89" si="21">+D81/248*G81</f>
        <v>0</v>
      </c>
      <c r="I81" s="13">
        <f t="shared" ref="I81:I89" si="22">+F81+H81</f>
        <v>0</v>
      </c>
      <c r="J81" s="13">
        <v>0</v>
      </c>
      <c r="K81" s="13">
        <v>0</v>
      </c>
      <c r="L81" s="13">
        <v>0</v>
      </c>
      <c r="M81" s="13">
        <v>0</v>
      </c>
      <c r="N81" s="13">
        <f t="shared" ref="N81:N89" si="23">+J81-K81-L81-M81</f>
        <v>0</v>
      </c>
      <c r="O81" t="s">
        <v>458</v>
      </c>
    </row>
    <row r="82" spans="1:15" x14ac:dyDescent="0.25">
      <c r="A82" s="11">
        <v>2</v>
      </c>
      <c r="B82" s="1" t="s">
        <v>72</v>
      </c>
      <c r="C82" s="2" t="s">
        <v>79</v>
      </c>
      <c r="D82" s="13">
        <v>81830</v>
      </c>
      <c r="E82" s="38">
        <v>0</v>
      </c>
      <c r="F82" s="13">
        <f t="shared" si="20"/>
        <v>0</v>
      </c>
      <c r="G82" s="13">
        <v>0</v>
      </c>
      <c r="H82" s="13">
        <f t="shared" si="21"/>
        <v>0</v>
      </c>
      <c r="I82" s="13">
        <f t="shared" si="22"/>
        <v>0</v>
      </c>
      <c r="J82" s="13">
        <v>0</v>
      </c>
      <c r="K82" s="13">
        <v>0</v>
      </c>
      <c r="L82" s="13">
        <v>0</v>
      </c>
      <c r="M82" s="13">
        <v>0</v>
      </c>
      <c r="N82" s="13">
        <f t="shared" si="23"/>
        <v>0</v>
      </c>
      <c r="O82" t="s">
        <v>458</v>
      </c>
    </row>
    <row r="83" spans="1:15" x14ac:dyDescent="0.25">
      <c r="A83" s="10">
        <v>3</v>
      </c>
      <c r="B83" s="1" t="s">
        <v>73</v>
      </c>
      <c r="C83" s="1" t="s">
        <v>45</v>
      </c>
      <c r="D83" s="37">
        <v>43000</v>
      </c>
      <c r="E83" s="38">
        <v>0</v>
      </c>
      <c r="F83" s="13">
        <f t="shared" si="20"/>
        <v>0</v>
      </c>
      <c r="G83" s="13">
        <v>0</v>
      </c>
      <c r="H83" s="13">
        <f t="shared" si="21"/>
        <v>0</v>
      </c>
      <c r="I83" s="13">
        <f t="shared" si="22"/>
        <v>0</v>
      </c>
      <c r="J83" s="13">
        <v>0</v>
      </c>
      <c r="K83" s="13">
        <v>0</v>
      </c>
      <c r="L83" s="13">
        <v>0</v>
      </c>
      <c r="M83" s="13">
        <v>0</v>
      </c>
      <c r="N83" s="13">
        <f t="shared" si="23"/>
        <v>0</v>
      </c>
      <c r="O83" t="s">
        <v>454</v>
      </c>
    </row>
    <row r="84" spans="1:15" x14ac:dyDescent="0.25">
      <c r="A84" s="11">
        <v>4</v>
      </c>
      <c r="B84" s="1" t="s">
        <v>74</v>
      </c>
      <c r="C84" s="1" t="s">
        <v>80</v>
      </c>
      <c r="D84" s="37">
        <v>41740</v>
      </c>
      <c r="E84" s="38">
        <v>0</v>
      </c>
      <c r="F84" s="13">
        <f t="shared" si="20"/>
        <v>0</v>
      </c>
      <c r="G84" s="13">
        <v>0</v>
      </c>
      <c r="H84" s="13">
        <f t="shared" si="21"/>
        <v>0</v>
      </c>
      <c r="I84" s="13">
        <f t="shared" si="22"/>
        <v>0</v>
      </c>
      <c r="J84" s="13">
        <v>0</v>
      </c>
      <c r="K84" s="13">
        <v>0</v>
      </c>
      <c r="L84" s="13">
        <v>0</v>
      </c>
      <c r="M84" s="13">
        <v>0</v>
      </c>
      <c r="N84" s="13">
        <f t="shared" si="23"/>
        <v>0</v>
      </c>
      <c r="O84" t="s">
        <v>454</v>
      </c>
    </row>
    <row r="85" spans="1:15" x14ac:dyDescent="0.25">
      <c r="A85" s="10">
        <v>5</v>
      </c>
      <c r="B85" s="1" t="s">
        <v>76</v>
      </c>
      <c r="C85" s="1" t="s">
        <v>80</v>
      </c>
      <c r="D85" s="37">
        <v>41140</v>
      </c>
      <c r="E85" s="38">
        <v>0</v>
      </c>
      <c r="F85" s="13">
        <f t="shared" si="20"/>
        <v>0</v>
      </c>
      <c r="G85" s="13">
        <v>0</v>
      </c>
      <c r="H85" s="13">
        <f t="shared" si="21"/>
        <v>0</v>
      </c>
      <c r="I85" s="13">
        <f t="shared" si="22"/>
        <v>0</v>
      </c>
      <c r="J85" s="13">
        <v>0</v>
      </c>
      <c r="K85" s="13">
        <v>0</v>
      </c>
      <c r="L85" s="13">
        <v>0</v>
      </c>
      <c r="M85" s="13">
        <v>0</v>
      </c>
      <c r="N85" s="13">
        <f t="shared" si="23"/>
        <v>0</v>
      </c>
      <c r="O85" t="s">
        <v>454</v>
      </c>
    </row>
    <row r="86" spans="1:15" x14ac:dyDescent="0.25">
      <c r="A86" s="11">
        <v>6</v>
      </c>
      <c r="B86" s="1" t="s">
        <v>77</v>
      </c>
      <c r="C86" s="1" t="s">
        <v>80</v>
      </c>
      <c r="D86" s="37">
        <v>37020</v>
      </c>
      <c r="E86" s="38">
        <v>0</v>
      </c>
      <c r="F86" s="13">
        <f t="shared" si="20"/>
        <v>0</v>
      </c>
      <c r="G86" s="13">
        <v>0</v>
      </c>
      <c r="H86" s="13">
        <f t="shared" si="21"/>
        <v>0</v>
      </c>
      <c r="I86" s="13">
        <f t="shared" si="22"/>
        <v>0</v>
      </c>
      <c r="J86" s="13">
        <v>0</v>
      </c>
      <c r="K86" s="13">
        <v>0</v>
      </c>
      <c r="L86" s="13">
        <v>0</v>
      </c>
      <c r="M86" s="13">
        <v>0</v>
      </c>
      <c r="N86" s="13">
        <f t="shared" si="23"/>
        <v>0</v>
      </c>
      <c r="O86" t="s">
        <v>454</v>
      </c>
    </row>
    <row r="87" spans="1:15" x14ac:dyDescent="0.25">
      <c r="A87" s="10">
        <v>7</v>
      </c>
      <c r="B87" s="1" t="s">
        <v>75</v>
      </c>
      <c r="C87" s="1" t="s">
        <v>80</v>
      </c>
      <c r="D87" s="37">
        <v>36850</v>
      </c>
      <c r="E87" s="38">
        <v>0</v>
      </c>
      <c r="F87" s="13">
        <f t="shared" si="20"/>
        <v>0</v>
      </c>
      <c r="G87" s="13">
        <v>0</v>
      </c>
      <c r="H87" s="13">
        <f t="shared" si="21"/>
        <v>0</v>
      </c>
      <c r="I87" s="13">
        <f t="shared" si="22"/>
        <v>0</v>
      </c>
      <c r="J87" s="13">
        <v>0</v>
      </c>
      <c r="K87" s="13">
        <v>0</v>
      </c>
      <c r="L87" s="13">
        <v>0</v>
      </c>
      <c r="M87" s="13">
        <v>0</v>
      </c>
      <c r="N87" s="13">
        <f t="shared" si="23"/>
        <v>0</v>
      </c>
      <c r="O87" t="s">
        <v>454</v>
      </c>
    </row>
    <row r="88" spans="1:15" x14ac:dyDescent="0.25">
      <c r="A88" s="11">
        <v>8</v>
      </c>
      <c r="B88" s="1" t="s">
        <v>78</v>
      </c>
      <c r="C88" s="1" t="s">
        <v>81</v>
      </c>
      <c r="D88" s="37">
        <v>41740</v>
      </c>
      <c r="E88" s="38">
        <v>0</v>
      </c>
      <c r="F88" s="13">
        <f t="shared" si="20"/>
        <v>0</v>
      </c>
      <c r="G88" s="13">
        <v>0</v>
      </c>
      <c r="H88" s="13">
        <f t="shared" si="21"/>
        <v>0</v>
      </c>
      <c r="I88" s="13">
        <f t="shared" si="22"/>
        <v>0</v>
      </c>
      <c r="J88" s="13">
        <v>0</v>
      </c>
      <c r="K88" s="13">
        <v>0</v>
      </c>
      <c r="L88" s="13">
        <v>0</v>
      </c>
      <c r="M88" s="13">
        <v>0</v>
      </c>
      <c r="N88" s="13">
        <f t="shared" si="23"/>
        <v>0</v>
      </c>
      <c r="O88" t="s">
        <v>454</v>
      </c>
    </row>
    <row r="89" spans="1:15" ht="15.75" thickBot="1" x14ac:dyDescent="0.3">
      <c r="A89" s="10">
        <v>9</v>
      </c>
      <c r="B89" s="1" t="s">
        <v>337</v>
      </c>
      <c r="C89" s="1" t="s">
        <v>82</v>
      </c>
      <c r="D89" s="37">
        <v>30000</v>
      </c>
      <c r="E89" s="38">
        <v>0</v>
      </c>
      <c r="F89" s="13">
        <f t="shared" si="20"/>
        <v>0</v>
      </c>
      <c r="G89" s="13">
        <v>0</v>
      </c>
      <c r="H89" s="13">
        <f t="shared" si="21"/>
        <v>0</v>
      </c>
      <c r="I89" s="13">
        <f t="shared" si="22"/>
        <v>0</v>
      </c>
      <c r="J89" s="13">
        <v>0</v>
      </c>
      <c r="K89" s="13">
        <v>0</v>
      </c>
      <c r="L89" s="13">
        <v>0</v>
      </c>
      <c r="M89" s="13">
        <v>0</v>
      </c>
      <c r="N89" s="13">
        <f t="shared" si="23"/>
        <v>0</v>
      </c>
      <c r="O89" t="s">
        <v>456</v>
      </c>
    </row>
    <row r="90" spans="1:15" ht="15.75" thickBot="1" x14ac:dyDescent="0.3">
      <c r="A90" s="9"/>
      <c r="B90" s="3" t="s">
        <v>11</v>
      </c>
      <c r="C90" s="3"/>
      <c r="D90" s="39">
        <f>SUM(D81:D89)</f>
        <v>453320</v>
      </c>
      <c r="E90" s="39">
        <f t="shared" ref="E90:N90" si="24">SUM(E81:E89)</f>
        <v>0</v>
      </c>
      <c r="F90" s="39">
        <f t="shared" si="24"/>
        <v>0</v>
      </c>
      <c r="G90" s="39">
        <f t="shared" si="24"/>
        <v>0</v>
      </c>
      <c r="H90" s="39">
        <f t="shared" si="24"/>
        <v>0</v>
      </c>
      <c r="I90" s="39">
        <f t="shared" si="24"/>
        <v>0</v>
      </c>
      <c r="J90" s="39">
        <f t="shared" si="24"/>
        <v>0</v>
      </c>
      <c r="K90" s="39">
        <f t="shared" si="24"/>
        <v>0</v>
      </c>
      <c r="L90" s="39">
        <f t="shared" si="24"/>
        <v>0</v>
      </c>
      <c r="M90" s="39">
        <f t="shared" si="24"/>
        <v>0</v>
      </c>
      <c r="N90" s="39">
        <f t="shared" si="24"/>
        <v>0</v>
      </c>
    </row>
    <row r="95" spans="1:15" ht="15.75" thickBot="1" x14ac:dyDescent="0.3">
      <c r="C95" s="6" t="s">
        <v>259</v>
      </c>
    </row>
    <row r="96" spans="1:15" ht="15.75" thickBot="1" x14ac:dyDescent="0.3">
      <c r="A96" s="9" t="s">
        <v>0</v>
      </c>
      <c r="B96" s="3" t="s">
        <v>1</v>
      </c>
      <c r="C96" s="3" t="s">
        <v>2</v>
      </c>
      <c r="D96" s="35" t="s">
        <v>3</v>
      </c>
      <c r="E96" s="35" t="s">
        <v>4</v>
      </c>
      <c r="F96" s="35" t="s">
        <v>5</v>
      </c>
      <c r="G96" s="35" t="s">
        <v>6</v>
      </c>
      <c r="H96" s="35" t="s">
        <v>5</v>
      </c>
      <c r="I96" s="35" t="s">
        <v>7</v>
      </c>
      <c r="J96" s="35" t="s">
        <v>8</v>
      </c>
      <c r="K96" s="35" t="s">
        <v>8</v>
      </c>
      <c r="L96" s="35" t="s">
        <v>9</v>
      </c>
      <c r="M96" s="35" t="s">
        <v>467</v>
      </c>
      <c r="N96" s="12" t="s">
        <v>10</v>
      </c>
    </row>
    <row r="97" spans="1:15" x14ac:dyDescent="0.25">
      <c r="A97" s="10">
        <v>1</v>
      </c>
      <c r="B97" s="2" t="s">
        <v>83</v>
      </c>
      <c r="C97" s="2" t="s">
        <v>57</v>
      </c>
      <c r="D97" s="13">
        <v>100000</v>
      </c>
      <c r="E97" s="38">
        <v>0</v>
      </c>
      <c r="F97" s="13">
        <f t="shared" ref="F97:F105" si="25">+D97/31*E97</f>
        <v>0</v>
      </c>
      <c r="G97" s="13">
        <v>0</v>
      </c>
      <c r="H97" s="13">
        <f t="shared" ref="H97:H105" si="26">+D97/248*G97</f>
        <v>0</v>
      </c>
      <c r="I97" s="13">
        <f t="shared" ref="I97:I105" si="27">+F97+H97</f>
        <v>0</v>
      </c>
      <c r="J97" s="13">
        <v>0</v>
      </c>
      <c r="K97" s="13">
        <v>0</v>
      </c>
      <c r="L97" s="13">
        <v>0</v>
      </c>
      <c r="M97" s="13">
        <v>0</v>
      </c>
      <c r="N97" s="13">
        <f t="shared" ref="N97:N105" si="28">+J97-K97-L97-M97</f>
        <v>0</v>
      </c>
      <c r="O97" t="s">
        <v>458</v>
      </c>
    </row>
    <row r="98" spans="1:15" x14ac:dyDescent="0.25">
      <c r="A98" s="11">
        <v>2</v>
      </c>
      <c r="B98" s="1" t="s">
        <v>84</v>
      </c>
      <c r="C98" s="2" t="s">
        <v>91</v>
      </c>
      <c r="D98" s="13">
        <v>44720</v>
      </c>
      <c r="E98" s="38">
        <v>0</v>
      </c>
      <c r="F98" s="13">
        <f t="shared" si="25"/>
        <v>0</v>
      </c>
      <c r="G98" s="13">
        <v>0</v>
      </c>
      <c r="H98" s="13">
        <f t="shared" si="26"/>
        <v>0</v>
      </c>
      <c r="I98" s="13">
        <f t="shared" si="27"/>
        <v>0</v>
      </c>
      <c r="J98" s="13">
        <v>0</v>
      </c>
      <c r="K98" s="13">
        <v>0</v>
      </c>
      <c r="L98" s="13">
        <v>0</v>
      </c>
      <c r="M98" s="13">
        <v>0</v>
      </c>
      <c r="N98" s="13">
        <f t="shared" si="28"/>
        <v>0</v>
      </c>
      <c r="O98" t="s">
        <v>454</v>
      </c>
    </row>
    <row r="99" spans="1:15" x14ac:dyDescent="0.25">
      <c r="A99" s="10">
        <v>3</v>
      </c>
      <c r="B99" s="1" t="s">
        <v>85</v>
      </c>
      <c r="C99" s="1" t="s">
        <v>92</v>
      </c>
      <c r="D99" s="37">
        <v>42780</v>
      </c>
      <c r="E99" s="38">
        <v>0</v>
      </c>
      <c r="F99" s="13">
        <f t="shared" si="25"/>
        <v>0</v>
      </c>
      <c r="G99" s="13">
        <v>0</v>
      </c>
      <c r="H99" s="13">
        <f t="shared" si="26"/>
        <v>0</v>
      </c>
      <c r="I99" s="13">
        <f t="shared" si="27"/>
        <v>0</v>
      </c>
      <c r="J99" s="13">
        <v>0</v>
      </c>
      <c r="K99" s="13">
        <v>0</v>
      </c>
      <c r="L99" s="13">
        <v>0</v>
      </c>
      <c r="M99" s="13">
        <v>0</v>
      </c>
      <c r="N99" s="13">
        <f t="shared" si="28"/>
        <v>0</v>
      </c>
      <c r="O99" t="s">
        <v>454</v>
      </c>
    </row>
    <row r="100" spans="1:15" x14ac:dyDescent="0.25">
      <c r="A100" s="11">
        <v>4</v>
      </c>
      <c r="B100" s="1" t="s">
        <v>86</v>
      </c>
      <c r="C100" s="1" t="s">
        <v>92</v>
      </c>
      <c r="D100" s="37">
        <v>42780</v>
      </c>
      <c r="E100" s="38">
        <v>0</v>
      </c>
      <c r="F100" s="13">
        <f t="shared" si="25"/>
        <v>0</v>
      </c>
      <c r="G100" s="13">
        <v>0</v>
      </c>
      <c r="H100" s="13">
        <f t="shared" si="26"/>
        <v>0</v>
      </c>
      <c r="I100" s="13">
        <f t="shared" si="27"/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f t="shared" si="28"/>
        <v>0</v>
      </c>
      <c r="O100" t="s">
        <v>454</v>
      </c>
    </row>
    <row r="101" spans="1:15" x14ac:dyDescent="0.25">
      <c r="A101" s="10">
        <v>5</v>
      </c>
      <c r="B101" s="1" t="s">
        <v>87</v>
      </c>
      <c r="C101" s="1" t="s">
        <v>92</v>
      </c>
      <c r="D101" s="37">
        <v>42780</v>
      </c>
      <c r="E101" s="38">
        <v>0</v>
      </c>
      <c r="F101" s="13">
        <f t="shared" si="25"/>
        <v>0</v>
      </c>
      <c r="G101" s="13">
        <v>0</v>
      </c>
      <c r="H101" s="13">
        <f t="shared" si="26"/>
        <v>0</v>
      </c>
      <c r="I101" s="13">
        <f t="shared" si="27"/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f t="shared" si="28"/>
        <v>0</v>
      </c>
      <c r="O101" t="s">
        <v>454</v>
      </c>
    </row>
    <row r="102" spans="1:15" x14ac:dyDescent="0.25">
      <c r="A102" s="11">
        <v>6</v>
      </c>
      <c r="B102" s="1" t="s">
        <v>320</v>
      </c>
      <c r="C102" s="1" t="s">
        <v>92</v>
      </c>
      <c r="D102" s="37">
        <v>42780</v>
      </c>
      <c r="E102" s="38">
        <v>0</v>
      </c>
      <c r="F102" s="13">
        <f t="shared" si="25"/>
        <v>0</v>
      </c>
      <c r="G102" s="13">
        <v>0</v>
      </c>
      <c r="H102" s="13">
        <f t="shared" si="26"/>
        <v>0</v>
      </c>
      <c r="I102" s="13">
        <f t="shared" si="27"/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f t="shared" si="28"/>
        <v>0</v>
      </c>
      <c r="O102" t="s">
        <v>454</v>
      </c>
    </row>
    <row r="103" spans="1:15" x14ac:dyDescent="0.25">
      <c r="A103" s="10">
        <v>7</v>
      </c>
      <c r="B103" s="1" t="s">
        <v>88</v>
      </c>
      <c r="C103" s="1" t="s">
        <v>92</v>
      </c>
      <c r="D103" s="37">
        <v>44720</v>
      </c>
      <c r="E103" s="38">
        <v>0</v>
      </c>
      <c r="F103" s="13">
        <f t="shared" si="25"/>
        <v>0</v>
      </c>
      <c r="G103" s="13">
        <v>0</v>
      </c>
      <c r="H103" s="13">
        <f t="shared" si="26"/>
        <v>0</v>
      </c>
      <c r="I103" s="13">
        <f t="shared" si="27"/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f t="shared" si="28"/>
        <v>0</v>
      </c>
      <c r="O103" t="s">
        <v>454</v>
      </c>
    </row>
    <row r="104" spans="1:15" x14ac:dyDescent="0.25">
      <c r="A104" s="11">
        <v>8</v>
      </c>
      <c r="B104" s="1" t="s">
        <v>90</v>
      </c>
      <c r="C104" s="1" t="s">
        <v>92</v>
      </c>
      <c r="D104" s="37">
        <v>42780</v>
      </c>
      <c r="E104" s="38">
        <v>0</v>
      </c>
      <c r="F104" s="13">
        <f t="shared" si="25"/>
        <v>0</v>
      </c>
      <c r="G104" s="13">
        <v>0</v>
      </c>
      <c r="H104" s="13">
        <f t="shared" si="26"/>
        <v>0</v>
      </c>
      <c r="I104" s="13">
        <f t="shared" si="27"/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f t="shared" si="28"/>
        <v>0</v>
      </c>
      <c r="O104" t="s">
        <v>454</v>
      </c>
    </row>
    <row r="105" spans="1:15" ht="15.75" thickBot="1" x14ac:dyDescent="0.3">
      <c r="A105" s="10">
        <v>9</v>
      </c>
      <c r="B105" s="1" t="s">
        <v>89</v>
      </c>
      <c r="C105" s="1" t="s">
        <v>93</v>
      </c>
      <c r="D105" s="37">
        <v>43560</v>
      </c>
      <c r="E105" s="38">
        <v>0</v>
      </c>
      <c r="F105" s="13">
        <f t="shared" si="25"/>
        <v>0</v>
      </c>
      <c r="G105" s="13">
        <v>0</v>
      </c>
      <c r="H105" s="13">
        <f t="shared" si="26"/>
        <v>0</v>
      </c>
      <c r="I105" s="13">
        <f t="shared" si="27"/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f t="shared" si="28"/>
        <v>0</v>
      </c>
      <c r="O105" t="s">
        <v>454</v>
      </c>
    </row>
    <row r="106" spans="1:15" ht="15.75" thickBot="1" x14ac:dyDescent="0.3">
      <c r="A106" s="9"/>
      <c r="B106" s="3" t="s">
        <v>11</v>
      </c>
      <c r="C106" s="3"/>
      <c r="D106" s="39">
        <f>SUM(D97:D105)</f>
        <v>446900</v>
      </c>
      <c r="E106" s="39">
        <f t="shared" ref="E106:N106" si="29">SUM(E97:E105)</f>
        <v>0</v>
      </c>
      <c r="F106" s="39">
        <f t="shared" si="29"/>
        <v>0</v>
      </c>
      <c r="G106" s="39">
        <f t="shared" si="29"/>
        <v>0</v>
      </c>
      <c r="H106" s="39">
        <f t="shared" si="29"/>
        <v>0</v>
      </c>
      <c r="I106" s="39">
        <f t="shared" si="29"/>
        <v>0</v>
      </c>
      <c r="J106" s="39">
        <f t="shared" si="29"/>
        <v>0</v>
      </c>
      <c r="K106" s="39">
        <f t="shared" si="29"/>
        <v>0</v>
      </c>
      <c r="L106" s="39">
        <f t="shared" si="29"/>
        <v>0</v>
      </c>
      <c r="M106" s="39">
        <f t="shared" si="29"/>
        <v>0</v>
      </c>
      <c r="N106" s="39">
        <f t="shared" si="29"/>
        <v>0</v>
      </c>
    </row>
    <row r="107" spans="1:15" x14ac:dyDescent="0.25">
      <c r="J107" s="14"/>
    </row>
    <row r="116" spans="1:15" ht="15.75" thickBot="1" x14ac:dyDescent="0.3">
      <c r="C116" s="6" t="s">
        <v>260</v>
      </c>
    </row>
    <row r="117" spans="1:15" ht="15.75" thickBot="1" x14ac:dyDescent="0.3">
      <c r="A117" s="9" t="s">
        <v>0</v>
      </c>
      <c r="B117" s="3" t="s">
        <v>1</v>
      </c>
      <c r="C117" s="3" t="s">
        <v>2</v>
      </c>
      <c r="D117" s="35" t="s">
        <v>3</v>
      </c>
      <c r="E117" s="35" t="s">
        <v>4</v>
      </c>
      <c r="F117" s="35" t="s">
        <v>5</v>
      </c>
      <c r="G117" s="35" t="s">
        <v>6</v>
      </c>
      <c r="H117" s="35" t="s">
        <v>5</v>
      </c>
      <c r="I117" s="35" t="s">
        <v>7</v>
      </c>
      <c r="J117" s="35" t="s">
        <v>8</v>
      </c>
      <c r="K117" s="35" t="s">
        <v>8</v>
      </c>
      <c r="L117" s="35" t="s">
        <v>9</v>
      </c>
      <c r="M117" s="35" t="s">
        <v>467</v>
      </c>
      <c r="N117" s="12" t="s">
        <v>10</v>
      </c>
    </row>
    <row r="118" spans="1:15" x14ac:dyDescent="0.25">
      <c r="A118" s="10">
        <v>1</v>
      </c>
      <c r="B118" s="2" t="s">
        <v>94</v>
      </c>
      <c r="C118" s="2" t="s">
        <v>57</v>
      </c>
      <c r="D118" s="13">
        <v>291500</v>
      </c>
      <c r="E118" s="38">
        <v>0</v>
      </c>
      <c r="F118" s="13">
        <f t="shared" ref="F118:F136" si="30">+D118/31*E118</f>
        <v>0</v>
      </c>
      <c r="G118" s="13">
        <v>0</v>
      </c>
      <c r="H118" s="13">
        <f t="shared" ref="H118:H136" si="31">+D118/248*G118</f>
        <v>0</v>
      </c>
      <c r="I118" s="13">
        <f t="shared" ref="I118:I136" si="32">+F118+H118</f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f t="shared" ref="N118:N136" si="33">+J118-K118-L118-M118</f>
        <v>0</v>
      </c>
      <c r="O118" t="s">
        <v>458</v>
      </c>
    </row>
    <row r="119" spans="1:15" x14ac:dyDescent="0.25">
      <c r="A119" s="11">
        <v>2</v>
      </c>
      <c r="B119" s="1" t="s">
        <v>95</v>
      </c>
      <c r="C119" s="2" t="s">
        <v>425</v>
      </c>
      <c r="D119" s="13">
        <v>104500</v>
      </c>
      <c r="E119" s="38">
        <v>0</v>
      </c>
      <c r="F119" s="13">
        <f t="shared" si="30"/>
        <v>0</v>
      </c>
      <c r="G119" s="13">
        <v>0</v>
      </c>
      <c r="H119" s="13">
        <f t="shared" si="31"/>
        <v>0</v>
      </c>
      <c r="I119" s="13">
        <f t="shared" si="32"/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f t="shared" si="33"/>
        <v>0</v>
      </c>
      <c r="O119" t="s">
        <v>454</v>
      </c>
    </row>
    <row r="120" spans="1:15" x14ac:dyDescent="0.25">
      <c r="A120" s="10">
        <v>3</v>
      </c>
      <c r="B120" s="1" t="s">
        <v>284</v>
      </c>
      <c r="C120" s="1" t="s">
        <v>288</v>
      </c>
      <c r="D120" s="37">
        <v>80000</v>
      </c>
      <c r="E120" s="38">
        <v>0</v>
      </c>
      <c r="F120" s="13">
        <f t="shared" si="30"/>
        <v>0</v>
      </c>
      <c r="G120" s="13">
        <v>0</v>
      </c>
      <c r="H120" s="13">
        <f t="shared" si="31"/>
        <v>0</v>
      </c>
      <c r="I120" s="13">
        <f t="shared" si="32"/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f t="shared" si="33"/>
        <v>0</v>
      </c>
      <c r="O120" t="s">
        <v>454</v>
      </c>
    </row>
    <row r="121" spans="1:15" x14ac:dyDescent="0.25">
      <c r="A121" s="11">
        <v>4</v>
      </c>
      <c r="B121" s="1" t="s">
        <v>274</v>
      </c>
      <c r="C121" s="1" t="s">
        <v>288</v>
      </c>
      <c r="D121" s="37">
        <v>65000</v>
      </c>
      <c r="E121" s="38">
        <v>0</v>
      </c>
      <c r="F121" s="13">
        <f t="shared" si="30"/>
        <v>0</v>
      </c>
      <c r="G121" s="13">
        <v>0</v>
      </c>
      <c r="H121" s="13">
        <f t="shared" si="31"/>
        <v>0</v>
      </c>
      <c r="I121" s="13">
        <f t="shared" si="32"/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f t="shared" si="33"/>
        <v>0</v>
      </c>
      <c r="O121" t="s">
        <v>454</v>
      </c>
    </row>
    <row r="122" spans="1:15" x14ac:dyDescent="0.25">
      <c r="A122" s="10">
        <v>5</v>
      </c>
      <c r="B122" s="1" t="s">
        <v>273</v>
      </c>
      <c r="C122" s="1" t="s">
        <v>98</v>
      </c>
      <c r="D122" s="37">
        <v>90000</v>
      </c>
      <c r="E122" s="38">
        <v>0</v>
      </c>
      <c r="F122" s="13">
        <f t="shared" si="30"/>
        <v>0</v>
      </c>
      <c r="G122" s="13">
        <v>0</v>
      </c>
      <c r="H122" s="13">
        <f t="shared" si="31"/>
        <v>0</v>
      </c>
      <c r="I122" s="13">
        <f t="shared" si="32"/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f t="shared" si="33"/>
        <v>0</v>
      </c>
      <c r="O122" t="s">
        <v>454</v>
      </c>
    </row>
    <row r="123" spans="1:15" x14ac:dyDescent="0.25">
      <c r="A123" s="11">
        <v>6</v>
      </c>
      <c r="B123" s="1" t="s">
        <v>317</v>
      </c>
      <c r="C123" s="1" t="s">
        <v>98</v>
      </c>
      <c r="D123" s="37">
        <v>80000</v>
      </c>
      <c r="E123" s="38">
        <v>0</v>
      </c>
      <c r="F123" s="13">
        <f t="shared" si="30"/>
        <v>0</v>
      </c>
      <c r="G123" s="13">
        <v>0</v>
      </c>
      <c r="H123" s="13">
        <f t="shared" si="31"/>
        <v>0</v>
      </c>
      <c r="I123" s="13">
        <f t="shared" si="32"/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f t="shared" si="33"/>
        <v>0</v>
      </c>
      <c r="O123" t="s">
        <v>454</v>
      </c>
    </row>
    <row r="124" spans="1:15" x14ac:dyDescent="0.25">
      <c r="A124" s="10">
        <v>7</v>
      </c>
      <c r="B124" s="1" t="s">
        <v>325</v>
      </c>
      <c r="C124" s="1" t="s">
        <v>98</v>
      </c>
      <c r="D124" s="37">
        <v>70000</v>
      </c>
      <c r="E124" s="38">
        <v>0</v>
      </c>
      <c r="F124" s="13">
        <f t="shared" si="30"/>
        <v>0</v>
      </c>
      <c r="G124" s="13">
        <v>0</v>
      </c>
      <c r="H124" s="13">
        <f t="shared" si="31"/>
        <v>0</v>
      </c>
      <c r="I124" s="13">
        <f t="shared" si="32"/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f t="shared" si="33"/>
        <v>0</v>
      </c>
      <c r="O124" t="s">
        <v>454</v>
      </c>
    </row>
    <row r="125" spans="1:15" x14ac:dyDescent="0.25">
      <c r="A125" s="11">
        <v>8</v>
      </c>
      <c r="B125" s="1" t="s">
        <v>424</v>
      </c>
      <c r="C125" s="1" t="s">
        <v>98</v>
      </c>
      <c r="D125" s="37">
        <v>80000</v>
      </c>
      <c r="E125" s="38">
        <v>0</v>
      </c>
      <c r="F125" s="13">
        <f t="shared" si="30"/>
        <v>0</v>
      </c>
      <c r="G125" s="13">
        <v>0</v>
      </c>
      <c r="H125" s="13">
        <f t="shared" si="31"/>
        <v>0</v>
      </c>
      <c r="I125" s="13">
        <f t="shared" si="32"/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f t="shared" si="33"/>
        <v>0</v>
      </c>
      <c r="O125" t="s">
        <v>454</v>
      </c>
    </row>
    <row r="126" spans="1:15" x14ac:dyDescent="0.25">
      <c r="A126" s="10">
        <v>9</v>
      </c>
      <c r="B126" s="1" t="s">
        <v>286</v>
      </c>
      <c r="C126" s="1" t="s">
        <v>98</v>
      </c>
      <c r="D126" s="37">
        <v>40000</v>
      </c>
      <c r="E126" s="38">
        <v>0</v>
      </c>
      <c r="F126" s="13">
        <f t="shared" si="30"/>
        <v>0</v>
      </c>
      <c r="G126" s="13">
        <v>0</v>
      </c>
      <c r="H126" s="13">
        <f t="shared" si="31"/>
        <v>0</v>
      </c>
      <c r="I126" s="13">
        <f t="shared" si="32"/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f t="shared" si="33"/>
        <v>0</v>
      </c>
      <c r="O126" t="s">
        <v>454</v>
      </c>
    </row>
    <row r="127" spans="1:15" x14ac:dyDescent="0.25">
      <c r="A127" s="11">
        <v>10</v>
      </c>
      <c r="B127" s="1" t="s">
        <v>252</v>
      </c>
      <c r="C127" s="1" t="s">
        <v>99</v>
      </c>
      <c r="D127" s="37">
        <v>75000</v>
      </c>
      <c r="E127" s="38">
        <v>0</v>
      </c>
      <c r="F127" s="13">
        <f t="shared" si="30"/>
        <v>0</v>
      </c>
      <c r="G127" s="13">
        <v>0</v>
      </c>
      <c r="H127" s="13">
        <f t="shared" si="31"/>
        <v>0</v>
      </c>
      <c r="I127" s="13">
        <f t="shared" si="32"/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f t="shared" si="33"/>
        <v>0</v>
      </c>
      <c r="O127" t="s">
        <v>456</v>
      </c>
    </row>
    <row r="128" spans="1:15" x14ac:dyDescent="0.25">
      <c r="A128" s="10">
        <v>11</v>
      </c>
      <c r="B128" s="1" t="s">
        <v>285</v>
      </c>
      <c r="C128" s="1" t="s">
        <v>99</v>
      </c>
      <c r="D128" s="37">
        <v>80000</v>
      </c>
      <c r="E128" s="38">
        <v>0</v>
      </c>
      <c r="F128" s="13">
        <f t="shared" si="30"/>
        <v>0</v>
      </c>
      <c r="G128" s="13">
        <v>0</v>
      </c>
      <c r="H128" s="13">
        <f t="shared" si="31"/>
        <v>0</v>
      </c>
      <c r="I128" s="13">
        <f t="shared" si="32"/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f t="shared" si="33"/>
        <v>0</v>
      </c>
      <c r="O128" t="s">
        <v>456</v>
      </c>
    </row>
    <row r="129" spans="1:18" x14ac:dyDescent="0.25">
      <c r="A129" s="11">
        <v>12</v>
      </c>
      <c r="B129" s="1" t="s">
        <v>289</v>
      </c>
      <c r="C129" s="1" t="s">
        <v>99</v>
      </c>
      <c r="D129" s="37">
        <v>95000</v>
      </c>
      <c r="E129" s="38">
        <v>0</v>
      </c>
      <c r="F129" s="13">
        <f t="shared" si="30"/>
        <v>0</v>
      </c>
      <c r="G129" s="13">
        <v>0</v>
      </c>
      <c r="H129" s="13">
        <f t="shared" si="31"/>
        <v>0</v>
      </c>
      <c r="I129" s="13">
        <f t="shared" si="32"/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f t="shared" si="33"/>
        <v>0</v>
      </c>
      <c r="O129" t="s">
        <v>456</v>
      </c>
    </row>
    <row r="130" spans="1:18" x14ac:dyDescent="0.25">
      <c r="A130" s="10">
        <v>13</v>
      </c>
      <c r="B130" s="1" t="s">
        <v>250</v>
      </c>
      <c r="C130" s="1" t="s">
        <v>99</v>
      </c>
      <c r="D130" s="37">
        <v>90000</v>
      </c>
      <c r="E130" s="38">
        <v>0</v>
      </c>
      <c r="F130" s="13">
        <f t="shared" si="30"/>
        <v>0</v>
      </c>
      <c r="G130" s="13">
        <v>0</v>
      </c>
      <c r="H130" s="13">
        <f t="shared" si="31"/>
        <v>0</v>
      </c>
      <c r="I130" s="13">
        <f t="shared" si="32"/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f t="shared" si="33"/>
        <v>0</v>
      </c>
      <c r="O130" t="s">
        <v>456</v>
      </c>
      <c r="Q130" s="7"/>
    </row>
    <row r="131" spans="1:18" x14ac:dyDescent="0.25">
      <c r="A131" s="11">
        <v>14</v>
      </c>
      <c r="B131" s="1" t="s">
        <v>345</v>
      </c>
      <c r="C131" s="1" t="s">
        <v>99</v>
      </c>
      <c r="D131" s="37">
        <v>65000</v>
      </c>
      <c r="E131" s="38">
        <v>0</v>
      </c>
      <c r="F131" s="13">
        <f t="shared" si="30"/>
        <v>0</v>
      </c>
      <c r="G131" s="13">
        <v>0</v>
      </c>
      <c r="H131" s="13">
        <f t="shared" si="31"/>
        <v>0</v>
      </c>
      <c r="I131" s="13">
        <f t="shared" si="32"/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f t="shared" si="33"/>
        <v>0</v>
      </c>
      <c r="O131" t="s">
        <v>456</v>
      </c>
      <c r="Q131" s="7"/>
    </row>
    <row r="132" spans="1:18" x14ac:dyDescent="0.25">
      <c r="A132" s="10">
        <v>15</v>
      </c>
      <c r="B132" s="1" t="s">
        <v>381</v>
      </c>
      <c r="C132" s="1" t="s">
        <v>99</v>
      </c>
      <c r="D132" s="37">
        <v>80000</v>
      </c>
      <c r="E132" s="38">
        <v>0</v>
      </c>
      <c r="F132" s="13">
        <f t="shared" si="30"/>
        <v>0</v>
      </c>
      <c r="G132" s="13">
        <v>0</v>
      </c>
      <c r="H132" s="13">
        <f t="shared" si="31"/>
        <v>0</v>
      </c>
      <c r="I132" s="13">
        <f t="shared" si="32"/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f t="shared" si="33"/>
        <v>0</v>
      </c>
      <c r="O132" t="s">
        <v>456</v>
      </c>
      <c r="Q132" s="7"/>
    </row>
    <row r="133" spans="1:18" x14ac:dyDescent="0.25">
      <c r="A133" s="11">
        <v>16</v>
      </c>
      <c r="B133" s="1" t="s">
        <v>412</v>
      </c>
      <c r="C133" s="1" t="s">
        <v>99</v>
      </c>
      <c r="D133" s="37">
        <v>45000</v>
      </c>
      <c r="E133" s="38">
        <v>0</v>
      </c>
      <c r="F133" s="13">
        <f t="shared" si="30"/>
        <v>0</v>
      </c>
      <c r="G133" s="13">
        <v>0</v>
      </c>
      <c r="H133" s="13">
        <f t="shared" si="31"/>
        <v>0</v>
      </c>
      <c r="I133" s="13">
        <f t="shared" si="32"/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f t="shared" si="33"/>
        <v>0</v>
      </c>
      <c r="O133" t="s">
        <v>456</v>
      </c>
      <c r="R133" s="7"/>
    </row>
    <row r="134" spans="1:18" x14ac:dyDescent="0.25">
      <c r="A134" s="10">
        <v>17</v>
      </c>
      <c r="B134" s="1" t="s">
        <v>413</v>
      </c>
      <c r="C134" s="1" t="s">
        <v>99</v>
      </c>
      <c r="D134" s="37">
        <v>70000</v>
      </c>
      <c r="E134" s="38">
        <v>0</v>
      </c>
      <c r="F134" s="13">
        <f t="shared" si="30"/>
        <v>0</v>
      </c>
      <c r="G134" s="13">
        <v>0</v>
      </c>
      <c r="H134" s="13">
        <f t="shared" si="31"/>
        <v>0</v>
      </c>
      <c r="I134" s="13">
        <f t="shared" si="32"/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f t="shared" si="33"/>
        <v>0</v>
      </c>
      <c r="O134" t="s">
        <v>456</v>
      </c>
      <c r="R134" s="7"/>
    </row>
    <row r="135" spans="1:18" x14ac:dyDescent="0.25">
      <c r="A135" s="11">
        <v>18</v>
      </c>
      <c r="B135" s="1" t="s">
        <v>414</v>
      </c>
      <c r="C135" s="1" t="s">
        <v>99</v>
      </c>
      <c r="D135" s="37">
        <v>65000</v>
      </c>
      <c r="E135" s="38">
        <v>0</v>
      </c>
      <c r="F135" s="13">
        <f t="shared" si="30"/>
        <v>0</v>
      </c>
      <c r="G135" s="13">
        <v>0</v>
      </c>
      <c r="H135" s="13">
        <f t="shared" si="31"/>
        <v>0</v>
      </c>
      <c r="I135" s="13">
        <f t="shared" si="32"/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f t="shared" si="33"/>
        <v>0</v>
      </c>
      <c r="O135" t="s">
        <v>456</v>
      </c>
      <c r="R135" s="7"/>
    </row>
    <row r="136" spans="1:18" ht="15.75" thickBot="1" x14ac:dyDescent="0.3">
      <c r="A136" s="10">
        <v>19</v>
      </c>
      <c r="B136" s="1" t="s">
        <v>96</v>
      </c>
      <c r="C136" s="1" t="s">
        <v>97</v>
      </c>
      <c r="D136" s="37">
        <v>27500</v>
      </c>
      <c r="E136" s="38">
        <v>0</v>
      </c>
      <c r="F136" s="13">
        <f t="shared" si="30"/>
        <v>0</v>
      </c>
      <c r="G136" s="13">
        <v>0</v>
      </c>
      <c r="H136" s="13">
        <f t="shared" si="31"/>
        <v>0</v>
      </c>
      <c r="I136" s="13">
        <f t="shared" si="32"/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f t="shared" si="33"/>
        <v>0</v>
      </c>
      <c r="O136" t="s">
        <v>457</v>
      </c>
    </row>
    <row r="137" spans="1:18" ht="15.75" thickBot="1" x14ac:dyDescent="0.3">
      <c r="A137" s="9"/>
      <c r="B137" s="3" t="s">
        <v>11</v>
      </c>
      <c r="C137" s="3"/>
      <c r="D137" s="39">
        <f>SUM(D118:D136)</f>
        <v>1593500</v>
      </c>
      <c r="E137" s="39">
        <f t="shared" ref="E137:N137" si="34">SUM(E118:E136)</f>
        <v>0</v>
      </c>
      <c r="F137" s="39">
        <f t="shared" si="34"/>
        <v>0</v>
      </c>
      <c r="G137" s="39">
        <f t="shared" si="34"/>
        <v>0</v>
      </c>
      <c r="H137" s="39">
        <f t="shared" si="34"/>
        <v>0</v>
      </c>
      <c r="I137" s="39">
        <f t="shared" si="34"/>
        <v>0</v>
      </c>
      <c r="J137" s="39">
        <f t="shared" si="34"/>
        <v>0</v>
      </c>
      <c r="K137" s="39">
        <f t="shared" si="34"/>
        <v>0</v>
      </c>
      <c r="L137" s="39">
        <f t="shared" si="34"/>
        <v>0</v>
      </c>
      <c r="M137" s="39">
        <f t="shared" si="34"/>
        <v>0</v>
      </c>
      <c r="N137" s="39">
        <f t="shared" si="34"/>
        <v>0</v>
      </c>
    </row>
    <row r="138" spans="1:18" x14ac:dyDescent="0.25">
      <c r="A138"/>
      <c r="J138" s="14"/>
    </row>
    <row r="139" spans="1:18" x14ac:dyDescent="0.25">
      <c r="D139" s="40"/>
      <c r="E139" s="42"/>
      <c r="J139" s="14"/>
    </row>
    <row r="140" spans="1:18" x14ac:dyDescent="0.25">
      <c r="D140" s="14"/>
    </row>
    <row r="151" spans="1:15" ht="15.75" thickBot="1" x14ac:dyDescent="0.3">
      <c r="C151" s="6" t="s">
        <v>261</v>
      </c>
    </row>
    <row r="152" spans="1:15" ht="15.75" thickBot="1" x14ac:dyDescent="0.3">
      <c r="A152" s="9" t="s">
        <v>0</v>
      </c>
      <c r="B152" s="3" t="s">
        <v>1</v>
      </c>
      <c r="C152" s="3" t="s">
        <v>2</v>
      </c>
      <c r="D152" s="35" t="s">
        <v>3</v>
      </c>
      <c r="E152" s="35" t="s">
        <v>4</v>
      </c>
      <c r="F152" s="35" t="s">
        <v>5</v>
      </c>
      <c r="G152" s="35" t="s">
        <v>6</v>
      </c>
      <c r="H152" s="35" t="s">
        <v>5</v>
      </c>
      <c r="I152" s="35" t="s">
        <v>7</v>
      </c>
      <c r="J152" s="35" t="s">
        <v>8</v>
      </c>
      <c r="K152" s="35" t="s">
        <v>8</v>
      </c>
      <c r="L152" s="35" t="s">
        <v>9</v>
      </c>
      <c r="M152" s="35" t="s">
        <v>467</v>
      </c>
      <c r="N152" s="12" t="s">
        <v>10</v>
      </c>
    </row>
    <row r="153" spans="1:15" x14ac:dyDescent="0.25">
      <c r="A153" s="10">
        <v>1</v>
      </c>
      <c r="B153" s="2" t="s">
        <v>105</v>
      </c>
      <c r="C153" s="2" t="s">
        <v>100</v>
      </c>
      <c r="D153" s="13">
        <v>205700</v>
      </c>
      <c r="E153" s="38">
        <v>0</v>
      </c>
      <c r="F153" s="13">
        <f t="shared" ref="F153:F173" si="35">+D153/31*E153</f>
        <v>0</v>
      </c>
      <c r="G153" s="13">
        <v>0</v>
      </c>
      <c r="H153" s="13">
        <f t="shared" ref="H153:H173" si="36">+D153/248*G153</f>
        <v>0</v>
      </c>
      <c r="I153" s="13">
        <f t="shared" ref="I153:I173" si="37">+F153+H153</f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f t="shared" ref="N153:N173" si="38">+J153-K153-L153-M153</f>
        <v>0</v>
      </c>
      <c r="O153" t="s">
        <v>460</v>
      </c>
    </row>
    <row r="154" spans="1:15" x14ac:dyDescent="0.25">
      <c r="A154" s="11">
        <v>2</v>
      </c>
      <c r="B154" s="1" t="s">
        <v>106</v>
      </c>
      <c r="C154" s="2" t="s">
        <v>101</v>
      </c>
      <c r="D154" s="13">
        <v>66000</v>
      </c>
      <c r="E154" s="38">
        <v>0</v>
      </c>
      <c r="F154" s="13">
        <f t="shared" si="35"/>
        <v>0</v>
      </c>
      <c r="G154" s="13">
        <v>0</v>
      </c>
      <c r="H154" s="13">
        <f t="shared" si="36"/>
        <v>0</v>
      </c>
      <c r="I154" s="13">
        <f t="shared" si="37"/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f t="shared" si="38"/>
        <v>0</v>
      </c>
      <c r="O154" t="s">
        <v>454</v>
      </c>
    </row>
    <row r="155" spans="1:15" x14ac:dyDescent="0.25">
      <c r="A155" s="10">
        <v>3</v>
      </c>
      <c r="B155" s="1" t="s">
        <v>107</v>
      </c>
      <c r="C155" s="2" t="s">
        <v>101</v>
      </c>
      <c r="D155" s="37">
        <v>66000</v>
      </c>
      <c r="E155" s="38">
        <v>0</v>
      </c>
      <c r="F155" s="13">
        <f t="shared" si="35"/>
        <v>0</v>
      </c>
      <c r="G155" s="13">
        <v>0</v>
      </c>
      <c r="H155" s="13">
        <f t="shared" si="36"/>
        <v>0</v>
      </c>
      <c r="I155" s="13">
        <f t="shared" si="37"/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f t="shared" si="38"/>
        <v>0</v>
      </c>
      <c r="O155" t="s">
        <v>454</v>
      </c>
    </row>
    <row r="156" spans="1:15" x14ac:dyDescent="0.25">
      <c r="A156" s="11">
        <v>4</v>
      </c>
      <c r="B156" s="1" t="s">
        <v>382</v>
      </c>
      <c r="C156" s="1" t="s">
        <v>102</v>
      </c>
      <c r="D156" s="37">
        <v>42350</v>
      </c>
      <c r="E156" s="38">
        <v>0</v>
      </c>
      <c r="F156" s="13">
        <f t="shared" si="35"/>
        <v>0</v>
      </c>
      <c r="G156" s="13">
        <v>0</v>
      </c>
      <c r="H156" s="13">
        <f t="shared" si="36"/>
        <v>0</v>
      </c>
      <c r="I156" s="13">
        <f t="shared" si="37"/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f t="shared" si="38"/>
        <v>0</v>
      </c>
      <c r="O156" t="s">
        <v>454</v>
      </c>
    </row>
    <row r="157" spans="1:15" x14ac:dyDescent="0.25">
      <c r="A157" s="10">
        <v>5</v>
      </c>
      <c r="B157" s="1" t="s">
        <v>251</v>
      </c>
      <c r="C157" s="1" t="s">
        <v>102</v>
      </c>
      <c r="D157" s="37">
        <v>42350</v>
      </c>
      <c r="E157" s="38">
        <v>0</v>
      </c>
      <c r="F157" s="13">
        <f t="shared" si="35"/>
        <v>0</v>
      </c>
      <c r="G157" s="13">
        <v>0</v>
      </c>
      <c r="H157" s="13">
        <f t="shared" si="36"/>
        <v>0</v>
      </c>
      <c r="I157" s="13">
        <f t="shared" si="37"/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f t="shared" si="38"/>
        <v>0</v>
      </c>
      <c r="O157" t="s">
        <v>454</v>
      </c>
    </row>
    <row r="158" spans="1:15" x14ac:dyDescent="0.25">
      <c r="A158" s="11">
        <v>6</v>
      </c>
      <c r="B158" s="1" t="s">
        <v>108</v>
      </c>
      <c r="C158" s="1" t="s">
        <v>103</v>
      </c>
      <c r="D158" s="37">
        <v>32670</v>
      </c>
      <c r="E158" s="38">
        <v>0</v>
      </c>
      <c r="F158" s="13">
        <f t="shared" si="35"/>
        <v>0</v>
      </c>
      <c r="G158" s="13">
        <v>0</v>
      </c>
      <c r="H158" s="13">
        <f t="shared" si="36"/>
        <v>0</v>
      </c>
      <c r="I158" s="13">
        <f t="shared" si="37"/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f t="shared" si="38"/>
        <v>0</v>
      </c>
      <c r="O158" t="s">
        <v>454</v>
      </c>
    </row>
    <row r="159" spans="1:15" x14ac:dyDescent="0.25">
      <c r="A159" s="10">
        <v>7</v>
      </c>
      <c r="B159" s="1" t="s">
        <v>109</v>
      </c>
      <c r="C159" s="1" t="s">
        <v>103</v>
      </c>
      <c r="D159" s="37">
        <v>32670</v>
      </c>
      <c r="E159" s="38">
        <v>0</v>
      </c>
      <c r="F159" s="13">
        <f t="shared" si="35"/>
        <v>0</v>
      </c>
      <c r="G159" s="13">
        <v>0</v>
      </c>
      <c r="H159" s="13">
        <f t="shared" si="36"/>
        <v>0</v>
      </c>
      <c r="I159" s="13">
        <f t="shared" si="37"/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f t="shared" si="38"/>
        <v>0</v>
      </c>
      <c r="O159" t="s">
        <v>454</v>
      </c>
    </row>
    <row r="160" spans="1:15" x14ac:dyDescent="0.25">
      <c r="A160" s="11">
        <v>8</v>
      </c>
      <c r="B160" s="1" t="s">
        <v>352</v>
      </c>
      <c r="C160" s="1" t="s">
        <v>103</v>
      </c>
      <c r="D160" s="37">
        <v>32670</v>
      </c>
      <c r="E160" s="38">
        <v>0</v>
      </c>
      <c r="F160" s="13">
        <f t="shared" si="35"/>
        <v>0</v>
      </c>
      <c r="G160" s="13">
        <v>0</v>
      </c>
      <c r="H160" s="13">
        <f t="shared" si="36"/>
        <v>0</v>
      </c>
      <c r="I160" s="13">
        <f t="shared" si="37"/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f t="shared" si="38"/>
        <v>0</v>
      </c>
      <c r="O160" t="s">
        <v>454</v>
      </c>
    </row>
    <row r="161" spans="1:15" x14ac:dyDescent="0.25">
      <c r="A161" s="10">
        <v>9</v>
      </c>
      <c r="B161" s="1" t="s">
        <v>383</v>
      </c>
      <c r="C161" s="1" t="s">
        <v>103</v>
      </c>
      <c r="D161" s="37">
        <v>32670</v>
      </c>
      <c r="E161" s="38">
        <v>0</v>
      </c>
      <c r="F161" s="13">
        <f t="shared" si="35"/>
        <v>0</v>
      </c>
      <c r="G161" s="13">
        <v>0</v>
      </c>
      <c r="H161" s="13">
        <f t="shared" si="36"/>
        <v>0</v>
      </c>
      <c r="I161" s="13">
        <f t="shared" si="37"/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f t="shared" si="38"/>
        <v>0</v>
      </c>
      <c r="O161" t="s">
        <v>454</v>
      </c>
    </row>
    <row r="162" spans="1:15" x14ac:dyDescent="0.25">
      <c r="A162" s="11">
        <v>10</v>
      </c>
      <c r="B162" s="1" t="s">
        <v>315</v>
      </c>
      <c r="C162" s="1" t="s">
        <v>104</v>
      </c>
      <c r="D162" s="37">
        <v>30250</v>
      </c>
      <c r="E162" s="38">
        <v>0</v>
      </c>
      <c r="F162" s="13">
        <f t="shared" si="35"/>
        <v>0</v>
      </c>
      <c r="G162" s="13">
        <v>0</v>
      </c>
      <c r="H162" s="13">
        <f t="shared" si="36"/>
        <v>0</v>
      </c>
      <c r="I162" s="13">
        <f t="shared" si="37"/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f t="shared" si="38"/>
        <v>0</v>
      </c>
      <c r="O162" t="s">
        <v>454</v>
      </c>
    </row>
    <row r="163" spans="1:15" x14ac:dyDescent="0.25">
      <c r="A163" s="10">
        <v>11</v>
      </c>
      <c r="B163" s="1" t="s">
        <v>372</v>
      </c>
      <c r="C163" s="1" t="s">
        <v>104</v>
      </c>
      <c r="D163" s="37">
        <v>30250</v>
      </c>
      <c r="E163" s="38">
        <v>0</v>
      </c>
      <c r="F163" s="13">
        <f t="shared" si="35"/>
        <v>0</v>
      </c>
      <c r="G163" s="13">
        <v>0</v>
      </c>
      <c r="H163" s="13">
        <f t="shared" si="36"/>
        <v>0</v>
      </c>
      <c r="I163" s="13">
        <f t="shared" si="37"/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f t="shared" si="38"/>
        <v>0</v>
      </c>
      <c r="O163" t="s">
        <v>454</v>
      </c>
    </row>
    <row r="164" spans="1:15" x14ac:dyDescent="0.25">
      <c r="A164" s="11">
        <v>12</v>
      </c>
      <c r="B164" s="1" t="s">
        <v>353</v>
      </c>
      <c r="C164" s="1" t="s">
        <v>104</v>
      </c>
      <c r="D164" s="37">
        <v>30250</v>
      </c>
      <c r="E164" s="38">
        <v>0</v>
      </c>
      <c r="F164" s="13">
        <f t="shared" si="35"/>
        <v>0</v>
      </c>
      <c r="G164" s="13">
        <v>0</v>
      </c>
      <c r="H164" s="13">
        <f t="shared" si="36"/>
        <v>0</v>
      </c>
      <c r="I164" s="13">
        <f t="shared" si="37"/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f t="shared" si="38"/>
        <v>0</v>
      </c>
      <c r="O164" t="s">
        <v>454</v>
      </c>
    </row>
    <row r="165" spans="1:15" x14ac:dyDescent="0.25">
      <c r="A165" s="10">
        <v>13</v>
      </c>
      <c r="B165" s="1" t="s">
        <v>316</v>
      </c>
      <c r="C165" s="1" t="s">
        <v>104</v>
      </c>
      <c r="D165" s="37">
        <v>30250</v>
      </c>
      <c r="E165" s="38">
        <v>0</v>
      </c>
      <c r="F165" s="13">
        <f t="shared" si="35"/>
        <v>0</v>
      </c>
      <c r="G165" s="13">
        <v>0</v>
      </c>
      <c r="H165" s="13">
        <f t="shared" si="36"/>
        <v>0</v>
      </c>
      <c r="I165" s="13">
        <f t="shared" si="37"/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f t="shared" si="38"/>
        <v>0</v>
      </c>
      <c r="O165" t="s">
        <v>454</v>
      </c>
    </row>
    <row r="166" spans="1:15" x14ac:dyDescent="0.25">
      <c r="A166" s="11">
        <v>14</v>
      </c>
      <c r="B166" s="1" t="s">
        <v>426</v>
      </c>
      <c r="C166" s="1" t="s">
        <v>104</v>
      </c>
      <c r="D166" s="37">
        <v>30250</v>
      </c>
      <c r="E166" s="38">
        <v>0</v>
      </c>
      <c r="F166" s="13">
        <f t="shared" si="35"/>
        <v>0</v>
      </c>
      <c r="G166" s="13">
        <v>0</v>
      </c>
      <c r="H166" s="13">
        <f t="shared" si="36"/>
        <v>0</v>
      </c>
      <c r="I166" s="13">
        <f t="shared" si="37"/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f t="shared" si="38"/>
        <v>0</v>
      </c>
      <c r="O166" t="s">
        <v>454</v>
      </c>
    </row>
    <row r="167" spans="1:15" x14ac:dyDescent="0.25">
      <c r="A167" s="10">
        <v>15</v>
      </c>
      <c r="B167" s="1" t="s">
        <v>326</v>
      </c>
      <c r="C167" s="1" t="s">
        <v>104</v>
      </c>
      <c r="D167" s="37">
        <v>30250</v>
      </c>
      <c r="E167" s="38">
        <v>0</v>
      </c>
      <c r="F167" s="13">
        <f t="shared" si="35"/>
        <v>0</v>
      </c>
      <c r="G167" s="13">
        <v>0</v>
      </c>
      <c r="H167" s="13">
        <f t="shared" si="36"/>
        <v>0</v>
      </c>
      <c r="I167" s="13">
        <f t="shared" si="37"/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f t="shared" si="38"/>
        <v>0</v>
      </c>
      <c r="O167" t="s">
        <v>454</v>
      </c>
    </row>
    <row r="168" spans="1:15" x14ac:dyDescent="0.25">
      <c r="A168" s="11">
        <v>16</v>
      </c>
      <c r="B168" s="1" t="s">
        <v>427</v>
      </c>
      <c r="C168" s="1" t="s">
        <v>104</v>
      </c>
      <c r="D168" s="37">
        <v>30250</v>
      </c>
      <c r="E168" s="38">
        <v>0</v>
      </c>
      <c r="F168" s="13">
        <f t="shared" si="35"/>
        <v>0</v>
      </c>
      <c r="G168" s="13">
        <v>0</v>
      </c>
      <c r="H168" s="13">
        <f t="shared" si="36"/>
        <v>0</v>
      </c>
      <c r="I168" s="13">
        <f t="shared" si="37"/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f t="shared" si="38"/>
        <v>0</v>
      </c>
      <c r="O168" t="s">
        <v>454</v>
      </c>
    </row>
    <row r="169" spans="1:15" x14ac:dyDescent="0.25">
      <c r="A169" s="10">
        <v>17</v>
      </c>
      <c r="B169" s="1" t="s">
        <v>354</v>
      </c>
      <c r="C169" s="1" t="s">
        <v>112</v>
      </c>
      <c r="D169" s="37">
        <v>25000</v>
      </c>
      <c r="E169" s="38">
        <v>0</v>
      </c>
      <c r="F169" s="13">
        <f t="shared" si="35"/>
        <v>0</v>
      </c>
      <c r="G169" s="13">
        <v>0</v>
      </c>
      <c r="H169" s="13">
        <f t="shared" si="36"/>
        <v>0</v>
      </c>
      <c r="I169" s="13">
        <f t="shared" si="37"/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f t="shared" si="38"/>
        <v>0</v>
      </c>
      <c r="O169" t="s">
        <v>454</v>
      </c>
    </row>
    <row r="170" spans="1:15" x14ac:dyDescent="0.25">
      <c r="A170" s="11">
        <v>18</v>
      </c>
      <c r="B170" s="1" t="s">
        <v>384</v>
      </c>
      <c r="C170" s="1" t="s">
        <v>112</v>
      </c>
      <c r="D170" s="37">
        <v>25000</v>
      </c>
      <c r="E170" s="38">
        <v>0</v>
      </c>
      <c r="F170" s="13">
        <f t="shared" si="35"/>
        <v>0</v>
      </c>
      <c r="G170" s="13">
        <v>0</v>
      </c>
      <c r="H170" s="13">
        <f t="shared" si="36"/>
        <v>0</v>
      </c>
      <c r="I170" s="13">
        <f t="shared" si="37"/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f t="shared" si="38"/>
        <v>0</v>
      </c>
      <c r="O170" t="s">
        <v>454</v>
      </c>
    </row>
    <row r="171" spans="1:15" x14ac:dyDescent="0.25">
      <c r="A171" s="10">
        <v>19</v>
      </c>
      <c r="B171" s="1" t="s">
        <v>385</v>
      </c>
      <c r="C171" s="1" t="s">
        <v>112</v>
      </c>
      <c r="D171" s="37">
        <v>25000</v>
      </c>
      <c r="E171" s="38">
        <v>0</v>
      </c>
      <c r="F171" s="13">
        <f t="shared" si="35"/>
        <v>0</v>
      </c>
      <c r="G171" s="13">
        <v>0</v>
      </c>
      <c r="H171" s="13">
        <f t="shared" si="36"/>
        <v>0</v>
      </c>
      <c r="I171" s="13">
        <f t="shared" si="37"/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f t="shared" si="38"/>
        <v>0</v>
      </c>
      <c r="O171" t="s">
        <v>454</v>
      </c>
    </row>
    <row r="172" spans="1:15" x14ac:dyDescent="0.25">
      <c r="A172" s="11">
        <v>20</v>
      </c>
      <c r="B172" s="1" t="s">
        <v>415</v>
      </c>
      <c r="C172" s="1" t="s">
        <v>112</v>
      </c>
      <c r="D172" s="37">
        <v>25000</v>
      </c>
      <c r="E172" s="38">
        <v>0</v>
      </c>
      <c r="F172" s="13">
        <f t="shared" si="35"/>
        <v>0</v>
      </c>
      <c r="G172" s="13">
        <v>0</v>
      </c>
      <c r="H172" s="13">
        <f t="shared" si="36"/>
        <v>0</v>
      </c>
      <c r="I172" s="13">
        <f t="shared" si="37"/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f t="shared" si="38"/>
        <v>0</v>
      </c>
      <c r="O172" t="s">
        <v>454</v>
      </c>
    </row>
    <row r="173" spans="1:15" ht="15.75" thickBot="1" x14ac:dyDescent="0.3">
      <c r="A173" s="10">
        <v>21</v>
      </c>
      <c r="B173" s="1" t="s">
        <v>194</v>
      </c>
      <c r="C173" s="1" t="s">
        <v>112</v>
      </c>
      <c r="D173" s="37">
        <v>25000</v>
      </c>
      <c r="E173" s="38">
        <v>0</v>
      </c>
      <c r="F173" s="13">
        <f t="shared" si="35"/>
        <v>0</v>
      </c>
      <c r="G173" s="13">
        <v>0</v>
      </c>
      <c r="H173" s="13">
        <f t="shared" si="36"/>
        <v>0</v>
      </c>
      <c r="I173" s="13">
        <f t="shared" si="37"/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f t="shared" si="38"/>
        <v>0</v>
      </c>
      <c r="O173" t="s">
        <v>454</v>
      </c>
    </row>
    <row r="174" spans="1:15" ht="15.75" thickBot="1" x14ac:dyDescent="0.3">
      <c r="A174" s="9"/>
      <c r="B174" s="3" t="s">
        <v>11</v>
      </c>
      <c r="C174" s="3"/>
      <c r="D174" s="39">
        <f>SUM(D153:D173)</f>
        <v>889830</v>
      </c>
      <c r="E174" s="39">
        <f>SUM(E153:E173)</f>
        <v>0</v>
      </c>
      <c r="F174" s="39">
        <f>SUM(F153:F173)</f>
        <v>0</v>
      </c>
      <c r="G174" s="39">
        <f>SUM(G153:G173)</f>
        <v>0</v>
      </c>
      <c r="H174" s="39">
        <f>SUM(H153:H173)</f>
        <v>0</v>
      </c>
      <c r="I174" s="39">
        <f>SUM(I153:I173)</f>
        <v>0</v>
      </c>
      <c r="J174" s="39">
        <f>SUM(J153:J173)</f>
        <v>0</v>
      </c>
      <c r="K174" s="39">
        <f>SUM(K153:K173)</f>
        <v>0</v>
      </c>
      <c r="L174" s="39">
        <f>SUM(L153:L173)</f>
        <v>0</v>
      </c>
      <c r="M174" s="39">
        <f>SUM(M153:M173)</f>
        <v>0</v>
      </c>
      <c r="N174" s="39">
        <f>SUM(N153:N173)</f>
        <v>0</v>
      </c>
    </row>
    <row r="175" spans="1:15" x14ac:dyDescent="0.25">
      <c r="A175" s="21"/>
      <c r="B175" s="22"/>
      <c r="C175" s="22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</row>
    <row r="176" spans="1:15" ht="15.75" thickBot="1" x14ac:dyDescent="0.3">
      <c r="C176" s="6" t="s">
        <v>262</v>
      </c>
    </row>
    <row r="177" spans="1:15" ht="15.75" thickBot="1" x14ac:dyDescent="0.3">
      <c r="A177" s="9" t="s">
        <v>0</v>
      </c>
      <c r="B177" s="3" t="s">
        <v>1</v>
      </c>
      <c r="C177" s="3" t="s">
        <v>2</v>
      </c>
      <c r="D177" s="35" t="s">
        <v>3</v>
      </c>
      <c r="E177" s="35" t="s">
        <v>4</v>
      </c>
      <c r="F177" s="35" t="s">
        <v>5</v>
      </c>
      <c r="G177" s="35" t="s">
        <v>6</v>
      </c>
      <c r="H177" s="35" t="s">
        <v>5</v>
      </c>
      <c r="I177" s="35" t="s">
        <v>7</v>
      </c>
      <c r="J177" s="35" t="s">
        <v>8</v>
      </c>
      <c r="K177" s="35" t="s">
        <v>8</v>
      </c>
      <c r="L177" s="35" t="s">
        <v>9</v>
      </c>
      <c r="M177" s="35" t="s">
        <v>467</v>
      </c>
      <c r="N177" s="12" t="s">
        <v>10</v>
      </c>
    </row>
    <row r="178" spans="1:15" x14ac:dyDescent="0.25">
      <c r="A178" s="10">
        <v>1</v>
      </c>
      <c r="B178" s="1" t="s">
        <v>312</v>
      </c>
      <c r="C178" s="2" t="s">
        <v>113</v>
      </c>
      <c r="D178" s="13">
        <v>42000</v>
      </c>
      <c r="E178" s="38">
        <v>0</v>
      </c>
      <c r="F178" s="13">
        <f t="shared" ref="F178:F184" si="39">+D178/31*E178</f>
        <v>0</v>
      </c>
      <c r="G178" s="13">
        <v>0</v>
      </c>
      <c r="H178" s="13">
        <f t="shared" ref="H178:H184" si="40">+D178/248*G178</f>
        <v>0</v>
      </c>
      <c r="I178" s="13">
        <f t="shared" ref="I178:I184" si="41">+F178+H178</f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f t="shared" ref="N178:N184" si="42">+J178-K178-L178-M178</f>
        <v>0</v>
      </c>
      <c r="O178" t="s">
        <v>454</v>
      </c>
    </row>
    <row r="179" spans="1:15" x14ac:dyDescent="0.25">
      <c r="A179" s="10">
        <v>2</v>
      </c>
      <c r="B179" s="1" t="s">
        <v>374</v>
      </c>
      <c r="C179" s="2" t="s">
        <v>113</v>
      </c>
      <c r="D179" s="13">
        <v>42000</v>
      </c>
      <c r="E179" s="38">
        <v>0</v>
      </c>
      <c r="F179" s="13">
        <f t="shared" si="39"/>
        <v>0</v>
      </c>
      <c r="G179" s="13">
        <v>0</v>
      </c>
      <c r="H179" s="13">
        <f t="shared" si="40"/>
        <v>0</v>
      </c>
      <c r="I179" s="13">
        <f t="shared" si="41"/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f t="shared" si="42"/>
        <v>0</v>
      </c>
      <c r="O179" t="s">
        <v>454</v>
      </c>
    </row>
    <row r="180" spans="1:15" x14ac:dyDescent="0.25">
      <c r="A180" s="10">
        <v>3</v>
      </c>
      <c r="B180" s="1" t="s">
        <v>321</v>
      </c>
      <c r="C180" s="1" t="s">
        <v>112</v>
      </c>
      <c r="D180" s="37">
        <v>25000</v>
      </c>
      <c r="E180" s="38">
        <v>0</v>
      </c>
      <c r="F180" s="13">
        <f t="shared" si="39"/>
        <v>0</v>
      </c>
      <c r="G180" s="13">
        <v>0</v>
      </c>
      <c r="H180" s="13">
        <f t="shared" si="40"/>
        <v>0</v>
      </c>
      <c r="I180" s="13">
        <f t="shared" si="41"/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f t="shared" si="42"/>
        <v>0</v>
      </c>
      <c r="O180" t="s">
        <v>454</v>
      </c>
    </row>
    <row r="181" spans="1:15" x14ac:dyDescent="0.25">
      <c r="A181" s="10">
        <v>4</v>
      </c>
      <c r="B181" s="1" t="s">
        <v>283</v>
      </c>
      <c r="C181" s="1" t="s">
        <v>112</v>
      </c>
      <c r="D181" s="37">
        <v>25000</v>
      </c>
      <c r="E181" s="38">
        <v>0</v>
      </c>
      <c r="F181" s="13">
        <f t="shared" si="39"/>
        <v>0</v>
      </c>
      <c r="G181" s="13">
        <v>0</v>
      </c>
      <c r="H181" s="13">
        <f t="shared" si="40"/>
        <v>0</v>
      </c>
      <c r="I181" s="13">
        <f t="shared" si="41"/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f t="shared" si="42"/>
        <v>0</v>
      </c>
      <c r="O181" t="s">
        <v>454</v>
      </c>
    </row>
    <row r="182" spans="1:15" x14ac:dyDescent="0.25">
      <c r="A182" s="10">
        <v>5</v>
      </c>
      <c r="B182" s="1" t="s">
        <v>339</v>
      </c>
      <c r="C182" s="1" t="s">
        <v>112</v>
      </c>
      <c r="D182" s="37">
        <v>25000</v>
      </c>
      <c r="E182" s="38">
        <v>0</v>
      </c>
      <c r="F182" s="13">
        <f t="shared" si="39"/>
        <v>0</v>
      </c>
      <c r="G182" s="13">
        <v>0</v>
      </c>
      <c r="H182" s="13">
        <f t="shared" si="40"/>
        <v>0</v>
      </c>
      <c r="I182" s="13">
        <f t="shared" si="41"/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f t="shared" si="42"/>
        <v>0</v>
      </c>
      <c r="O182" t="s">
        <v>454</v>
      </c>
    </row>
    <row r="183" spans="1:15" x14ac:dyDescent="0.25">
      <c r="A183" s="10">
        <v>6</v>
      </c>
      <c r="B183" s="1" t="s">
        <v>377</v>
      </c>
      <c r="C183" s="1" t="s">
        <v>112</v>
      </c>
      <c r="D183" s="37">
        <v>25000</v>
      </c>
      <c r="E183" s="38">
        <v>0</v>
      </c>
      <c r="F183" s="13">
        <f t="shared" si="39"/>
        <v>0</v>
      </c>
      <c r="G183" s="13">
        <v>0</v>
      </c>
      <c r="H183" s="13">
        <f t="shared" si="40"/>
        <v>0</v>
      </c>
      <c r="I183" s="13">
        <f t="shared" si="41"/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f t="shared" si="42"/>
        <v>0</v>
      </c>
      <c r="O183" t="s">
        <v>454</v>
      </c>
    </row>
    <row r="184" spans="1:15" ht="15.75" thickBot="1" x14ac:dyDescent="0.3">
      <c r="A184" s="10">
        <v>7</v>
      </c>
      <c r="B184" s="1" t="s">
        <v>196</v>
      </c>
      <c r="C184" s="1" t="s">
        <v>112</v>
      </c>
      <c r="D184" s="37">
        <v>25000</v>
      </c>
      <c r="E184" s="38">
        <v>0</v>
      </c>
      <c r="F184" s="13">
        <f t="shared" si="39"/>
        <v>0</v>
      </c>
      <c r="G184" s="13">
        <v>0</v>
      </c>
      <c r="H184" s="13">
        <f t="shared" si="40"/>
        <v>0</v>
      </c>
      <c r="I184" s="13">
        <f t="shared" si="41"/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f t="shared" si="42"/>
        <v>0</v>
      </c>
      <c r="O184" t="s">
        <v>454</v>
      </c>
    </row>
    <row r="185" spans="1:15" ht="15.75" thickBot="1" x14ac:dyDescent="0.3">
      <c r="A185" s="9"/>
      <c r="B185" s="3" t="s">
        <v>11</v>
      </c>
      <c r="C185" s="3"/>
      <c r="D185" s="39">
        <f>SUM(D178:D184)</f>
        <v>209000</v>
      </c>
      <c r="E185" s="39">
        <f>SUM(E178:E184)</f>
        <v>0</v>
      </c>
      <c r="F185" s="39">
        <f>SUM(F178:F184)</f>
        <v>0</v>
      </c>
      <c r="G185" s="39">
        <f>SUM(G178:G184)</f>
        <v>0</v>
      </c>
      <c r="H185" s="39">
        <f>SUM(H178:H184)</f>
        <v>0</v>
      </c>
      <c r="I185" s="39">
        <f>SUM(I178:I184)</f>
        <v>0</v>
      </c>
      <c r="J185" s="39">
        <f>SUM(J178:J184)</f>
        <v>0</v>
      </c>
      <c r="K185" s="39">
        <f>SUM(K178:K184)</f>
        <v>0</v>
      </c>
      <c r="L185" s="39">
        <f>SUM(L178:L184)</f>
        <v>0</v>
      </c>
      <c r="M185" s="39">
        <f>SUM(M178:M184)</f>
        <v>0</v>
      </c>
      <c r="N185" s="39">
        <f>SUM(N178:N184)</f>
        <v>0</v>
      </c>
    </row>
    <row r="187" spans="1:15" ht="15.75" thickBot="1" x14ac:dyDescent="0.3">
      <c r="C187" s="6" t="s">
        <v>263</v>
      </c>
    </row>
    <row r="188" spans="1:15" ht="15.75" thickBot="1" x14ac:dyDescent="0.3">
      <c r="A188" s="9" t="s">
        <v>0</v>
      </c>
      <c r="B188" s="3" t="s">
        <v>1</v>
      </c>
      <c r="C188" s="3" t="s">
        <v>2</v>
      </c>
      <c r="D188" s="35" t="s">
        <v>3</v>
      </c>
      <c r="E188" s="35" t="s">
        <v>4</v>
      </c>
      <c r="F188" s="35" t="s">
        <v>5</v>
      </c>
      <c r="G188" s="35" t="s">
        <v>6</v>
      </c>
      <c r="H188" s="35" t="s">
        <v>5</v>
      </c>
      <c r="I188" s="35" t="s">
        <v>7</v>
      </c>
      <c r="J188" s="35" t="s">
        <v>8</v>
      </c>
      <c r="K188" s="35" t="s">
        <v>8</v>
      </c>
      <c r="L188" s="35" t="s">
        <v>9</v>
      </c>
      <c r="M188" s="35" t="s">
        <v>467</v>
      </c>
      <c r="N188" s="12" t="s">
        <v>10</v>
      </c>
    </row>
    <row r="189" spans="1:15" x14ac:dyDescent="0.25">
      <c r="A189" s="10">
        <v>1</v>
      </c>
      <c r="B189" s="2" t="s">
        <v>118</v>
      </c>
      <c r="C189" s="2" t="s">
        <v>117</v>
      </c>
      <c r="D189" s="13">
        <v>31270</v>
      </c>
      <c r="E189" s="38">
        <v>0</v>
      </c>
      <c r="F189" s="13">
        <f t="shared" ref="F189:F204" si="43">+D189/31*E189</f>
        <v>0</v>
      </c>
      <c r="G189" s="13">
        <v>0</v>
      </c>
      <c r="H189" s="13">
        <f t="shared" ref="H189:H204" si="44">+D189/248*G189</f>
        <v>0</v>
      </c>
      <c r="I189" s="13">
        <f t="shared" ref="I189:I204" si="45">+F189+H189</f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f t="shared" ref="N189:N204" si="46">+J189-K189-L189-M189</f>
        <v>0</v>
      </c>
      <c r="O189" t="s">
        <v>454</v>
      </c>
    </row>
    <row r="190" spans="1:15" x14ac:dyDescent="0.25">
      <c r="A190" s="11">
        <v>2</v>
      </c>
      <c r="B190" s="16" t="s">
        <v>361</v>
      </c>
      <c r="C190" s="2" t="s">
        <v>117</v>
      </c>
      <c r="D190" s="13">
        <v>31270</v>
      </c>
      <c r="E190" s="38">
        <v>0</v>
      </c>
      <c r="F190" s="13">
        <f t="shared" si="43"/>
        <v>0</v>
      </c>
      <c r="G190" s="13">
        <v>0</v>
      </c>
      <c r="H190" s="13">
        <f t="shared" si="44"/>
        <v>0</v>
      </c>
      <c r="I190" s="13">
        <f t="shared" si="45"/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f t="shared" si="46"/>
        <v>0</v>
      </c>
      <c r="O190" t="s">
        <v>454</v>
      </c>
    </row>
    <row r="191" spans="1:15" x14ac:dyDescent="0.25">
      <c r="A191" s="10">
        <v>3</v>
      </c>
      <c r="B191" s="16" t="s">
        <v>428</v>
      </c>
      <c r="C191" s="2" t="s">
        <v>117</v>
      </c>
      <c r="D191" s="13">
        <v>31270</v>
      </c>
      <c r="E191" s="38">
        <v>0</v>
      </c>
      <c r="F191" s="13">
        <f t="shared" si="43"/>
        <v>0</v>
      </c>
      <c r="G191" s="13">
        <v>0</v>
      </c>
      <c r="H191" s="13">
        <f t="shared" si="44"/>
        <v>0</v>
      </c>
      <c r="I191" s="13">
        <f t="shared" si="45"/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f t="shared" si="46"/>
        <v>0</v>
      </c>
      <c r="O191" t="s">
        <v>454</v>
      </c>
    </row>
    <row r="192" spans="1:15" x14ac:dyDescent="0.25">
      <c r="A192" s="11">
        <v>4</v>
      </c>
      <c r="B192" s="16" t="s">
        <v>119</v>
      </c>
      <c r="C192" s="1" t="s">
        <v>24</v>
      </c>
      <c r="D192" s="37">
        <v>38500</v>
      </c>
      <c r="E192" s="38">
        <v>0</v>
      </c>
      <c r="F192" s="13">
        <f t="shared" si="43"/>
        <v>0</v>
      </c>
      <c r="G192" s="13">
        <v>0</v>
      </c>
      <c r="H192" s="13">
        <f t="shared" si="44"/>
        <v>0</v>
      </c>
      <c r="I192" s="13">
        <f t="shared" si="45"/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f t="shared" si="46"/>
        <v>0</v>
      </c>
      <c r="O192" t="s">
        <v>454</v>
      </c>
    </row>
    <row r="193" spans="1:15" x14ac:dyDescent="0.25">
      <c r="A193" s="10">
        <v>5</v>
      </c>
      <c r="B193" s="16" t="s">
        <v>120</v>
      </c>
      <c r="C193" s="1" t="s">
        <v>112</v>
      </c>
      <c r="D193" s="37">
        <v>25000</v>
      </c>
      <c r="E193" s="38">
        <v>0</v>
      </c>
      <c r="F193" s="13">
        <f t="shared" si="43"/>
        <v>0</v>
      </c>
      <c r="G193" s="13">
        <v>0</v>
      </c>
      <c r="H193" s="13">
        <f t="shared" si="44"/>
        <v>0</v>
      </c>
      <c r="I193" s="13">
        <f t="shared" si="45"/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f t="shared" si="46"/>
        <v>0</v>
      </c>
      <c r="O193" t="s">
        <v>454</v>
      </c>
    </row>
    <row r="194" spans="1:15" x14ac:dyDescent="0.25">
      <c r="A194" s="11">
        <v>6</v>
      </c>
      <c r="B194" s="16" t="s">
        <v>71</v>
      </c>
      <c r="C194" s="1" t="s">
        <v>112</v>
      </c>
      <c r="D194" s="37">
        <v>25000</v>
      </c>
      <c r="E194" s="38">
        <v>0</v>
      </c>
      <c r="F194" s="13">
        <f t="shared" si="43"/>
        <v>0</v>
      </c>
      <c r="G194" s="13">
        <v>0</v>
      </c>
      <c r="H194" s="13">
        <f t="shared" si="44"/>
        <v>0</v>
      </c>
      <c r="I194" s="13">
        <f t="shared" si="45"/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f t="shared" si="46"/>
        <v>0</v>
      </c>
      <c r="O194" t="s">
        <v>454</v>
      </c>
    </row>
    <row r="195" spans="1:15" x14ac:dyDescent="0.25">
      <c r="A195" s="10">
        <v>7</v>
      </c>
      <c r="B195" s="16" t="s">
        <v>291</v>
      </c>
      <c r="C195" s="1" t="s">
        <v>112</v>
      </c>
      <c r="D195" s="41">
        <v>25000</v>
      </c>
      <c r="E195" s="38">
        <v>0</v>
      </c>
      <c r="F195" s="13">
        <f t="shared" si="43"/>
        <v>0</v>
      </c>
      <c r="G195" s="13">
        <v>0</v>
      </c>
      <c r="H195" s="13">
        <f t="shared" si="44"/>
        <v>0</v>
      </c>
      <c r="I195" s="13">
        <f t="shared" si="45"/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f t="shared" si="46"/>
        <v>0</v>
      </c>
      <c r="O195" t="s">
        <v>454</v>
      </c>
    </row>
    <row r="196" spans="1:15" x14ac:dyDescent="0.25">
      <c r="A196" s="11">
        <v>8</v>
      </c>
      <c r="B196" s="1" t="s">
        <v>386</v>
      </c>
      <c r="C196" s="1" t="s">
        <v>112</v>
      </c>
      <c r="D196" s="37">
        <v>25000</v>
      </c>
      <c r="E196" s="38">
        <v>0</v>
      </c>
      <c r="F196" s="13">
        <f t="shared" si="43"/>
        <v>0</v>
      </c>
      <c r="G196" s="13">
        <v>0</v>
      </c>
      <c r="H196" s="13">
        <f t="shared" si="44"/>
        <v>0</v>
      </c>
      <c r="I196" s="13">
        <f t="shared" si="45"/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f t="shared" si="46"/>
        <v>0</v>
      </c>
      <c r="O196" t="s">
        <v>454</v>
      </c>
    </row>
    <row r="197" spans="1:15" x14ac:dyDescent="0.25">
      <c r="A197" s="10">
        <v>9</v>
      </c>
      <c r="B197" s="1" t="s">
        <v>356</v>
      </c>
      <c r="C197" s="1" t="s">
        <v>112</v>
      </c>
      <c r="D197" s="37">
        <v>25000</v>
      </c>
      <c r="E197" s="38">
        <v>0</v>
      </c>
      <c r="F197" s="13">
        <f t="shared" si="43"/>
        <v>0</v>
      </c>
      <c r="G197" s="13">
        <v>0</v>
      </c>
      <c r="H197" s="13">
        <f t="shared" si="44"/>
        <v>0</v>
      </c>
      <c r="I197" s="13">
        <f t="shared" si="45"/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f t="shared" si="46"/>
        <v>0</v>
      </c>
      <c r="O197" t="s">
        <v>454</v>
      </c>
    </row>
    <row r="198" spans="1:15" x14ac:dyDescent="0.25">
      <c r="A198" s="11">
        <v>10</v>
      </c>
      <c r="B198" s="1" t="s">
        <v>65</v>
      </c>
      <c r="C198" s="1" t="s">
        <v>112</v>
      </c>
      <c r="D198" s="37">
        <v>25000</v>
      </c>
      <c r="E198" s="38">
        <v>0</v>
      </c>
      <c r="F198" s="13">
        <f t="shared" si="43"/>
        <v>0</v>
      </c>
      <c r="G198" s="13">
        <v>0</v>
      </c>
      <c r="H198" s="13">
        <f t="shared" si="44"/>
        <v>0</v>
      </c>
      <c r="I198" s="13">
        <f t="shared" si="45"/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f t="shared" si="46"/>
        <v>0</v>
      </c>
      <c r="O198" t="s">
        <v>454</v>
      </c>
    </row>
    <row r="199" spans="1:15" x14ac:dyDescent="0.25">
      <c r="A199" s="10">
        <v>11</v>
      </c>
      <c r="B199" s="1" t="s">
        <v>375</v>
      </c>
      <c r="C199" s="1" t="s">
        <v>112</v>
      </c>
      <c r="D199" s="37">
        <v>25000</v>
      </c>
      <c r="E199" s="38">
        <v>0</v>
      </c>
      <c r="F199" s="13">
        <f t="shared" si="43"/>
        <v>0</v>
      </c>
      <c r="G199" s="13">
        <v>0</v>
      </c>
      <c r="H199" s="13">
        <f t="shared" si="44"/>
        <v>0</v>
      </c>
      <c r="I199" s="13">
        <f t="shared" si="45"/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f t="shared" si="46"/>
        <v>0</v>
      </c>
      <c r="O199" t="s">
        <v>454</v>
      </c>
    </row>
    <row r="200" spans="1:15" x14ac:dyDescent="0.25">
      <c r="A200" s="11">
        <v>12</v>
      </c>
      <c r="B200" s="1" t="s">
        <v>387</v>
      </c>
      <c r="C200" s="1" t="s">
        <v>112</v>
      </c>
      <c r="D200" s="37">
        <v>25000</v>
      </c>
      <c r="E200" s="38">
        <v>0</v>
      </c>
      <c r="F200" s="13">
        <f t="shared" si="43"/>
        <v>0</v>
      </c>
      <c r="G200" s="13">
        <v>0</v>
      </c>
      <c r="H200" s="13">
        <f t="shared" si="44"/>
        <v>0</v>
      </c>
      <c r="I200" s="13">
        <f t="shared" si="45"/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f t="shared" si="46"/>
        <v>0</v>
      </c>
      <c r="O200" t="s">
        <v>454</v>
      </c>
    </row>
    <row r="201" spans="1:15" x14ac:dyDescent="0.25">
      <c r="A201" s="10">
        <v>13</v>
      </c>
      <c r="B201" s="1" t="s">
        <v>388</v>
      </c>
      <c r="C201" s="1" t="s">
        <v>112</v>
      </c>
      <c r="D201" s="37">
        <v>25000</v>
      </c>
      <c r="E201" s="38">
        <v>0</v>
      </c>
      <c r="F201" s="13">
        <f t="shared" si="43"/>
        <v>0</v>
      </c>
      <c r="G201" s="13">
        <v>0</v>
      </c>
      <c r="H201" s="13">
        <f t="shared" si="44"/>
        <v>0</v>
      </c>
      <c r="I201" s="13">
        <f t="shared" si="45"/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f t="shared" si="46"/>
        <v>0</v>
      </c>
      <c r="O201" t="s">
        <v>454</v>
      </c>
    </row>
    <row r="202" spans="1:15" x14ac:dyDescent="0.25">
      <c r="A202" s="11">
        <v>14</v>
      </c>
      <c r="B202" s="16" t="s">
        <v>417</v>
      </c>
      <c r="C202" s="1" t="s">
        <v>112</v>
      </c>
      <c r="D202" s="37">
        <v>25000</v>
      </c>
      <c r="E202" s="38">
        <v>0</v>
      </c>
      <c r="F202" s="13">
        <f t="shared" si="43"/>
        <v>0</v>
      </c>
      <c r="G202" s="13">
        <v>0</v>
      </c>
      <c r="H202" s="13">
        <f t="shared" si="44"/>
        <v>0</v>
      </c>
      <c r="I202" s="13">
        <f t="shared" si="45"/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f t="shared" si="46"/>
        <v>0</v>
      </c>
      <c r="O202" t="s">
        <v>454</v>
      </c>
    </row>
    <row r="203" spans="1:15" x14ac:dyDescent="0.25">
      <c r="A203" s="10">
        <v>15</v>
      </c>
      <c r="B203" s="1" t="s">
        <v>416</v>
      </c>
      <c r="C203" s="1" t="s">
        <v>112</v>
      </c>
      <c r="D203" s="37">
        <v>25000</v>
      </c>
      <c r="E203" s="38">
        <v>0</v>
      </c>
      <c r="F203" s="13">
        <f t="shared" si="43"/>
        <v>0</v>
      </c>
      <c r="G203" s="13">
        <v>0</v>
      </c>
      <c r="H203" s="13">
        <f t="shared" si="44"/>
        <v>0</v>
      </c>
      <c r="I203" s="13">
        <f t="shared" si="45"/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f t="shared" si="46"/>
        <v>0</v>
      </c>
      <c r="O203" t="s">
        <v>454</v>
      </c>
    </row>
    <row r="204" spans="1:15" ht="15.75" thickBot="1" x14ac:dyDescent="0.3">
      <c r="A204" s="11">
        <v>16</v>
      </c>
      <c r="B204" s="1" t="s">
        <v>316</v>
      </c>
      <c r="C204" s="1" t="s">
        <v>112</v>
      </c>
      <c r="D204" s="37">
        <v>25000</v>
      </c>
      <c r="E204" s="38">
        <v>0</v>
      </c>
      <c r="F204" s="13">
        <f t="shared" si="43"/>
        <v>0</v>
      </c>
      <c r="G204" s="13">
        <v>0</v>
      </c>
      <c r="H204" s="13">
        <f t="shared" si="44"/>
        <v>0</v>
      </c>
      <c r="I204" s="13">
        <f t="shared" si="45"/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f t="shared" si="46"/>
        <v>0</v>
      </c>
      <c r="O204" t="s">
        <v>454</v>
      </c>
    </row>
    <row r="205" spans="1:15" ht="15.75" thickBot="1" x14ac:dyDescent="0.3">
      <c r="A205" s="9"/>
      <c r="B205" s="3" t="s">
        <v>11</v>
      </c>
      <c r="C205" s="3"/>
      <c r="D205" s="39">
        <f>SUM(D189:D204)</f>
        <v>432310</v>
      </c>
      <c r="E205" s="39">
        <f>SUM(E189:E204)</f>
        <v>0</v>
      </c>
      <c r="F205" s="39">
        <f>SUM(F189:F204)</f>
        <v>0</v>
      </c>
      <c r="G205" s="39">
        <f>SUM(G189:G204)</f>
        <v>0</v>
      </c>
      <c r="H205" s="39">
        <f>SUM(H189:H204)</f>
        <v>0</v>
      </c>
      <c r="I205" s="39">
        <f>SUM(I189:I204)</f>
        <v>0</v>
      </c>
      <c r="J205" s="39">
        <f>SUM(J189:J204)</f>
        <v>0</v>
      </c>
      <c r="K205" s="39">
        <f>SUM(K189:K204)</f>
        <v>0</v>
      </c>
      <c r="L205" s="39">
        <f>SUM(L189:L204)</f>
        <v>0</v>
      </c>
      <c r="M205" s="39">
        <f>SUM(M189:M204)</f>
        <v>0</v>
      </c>
      <c r="N205" s="39">
        <f>SUM(N189:N204)</f>
        <v>0</v>
      </c>
    </row>
    <row r="220" spans="1:15" ht="15.75" thickBot="1" x14ac:dyDescent="0.3">
      <c r="A220"/>
      <c r="C220" s="6" t="s">
        <v>121</v>
      </c>
    </row>
    <row r="221" spans="1:15" ht="15.75" thickBot="1" x14ac:dyDescent="0.3">
      <c r="A221" s="9" t="s">
        <v>0</v>
      </c>
      <c r="B221" s="3" t="s">
        <v>1</v>
      </c>
      <c r="C221" s="3" t="s">
        <v>2</v>
      </c>
      <c r="D221" s="35" t="s">
        <v>3</v>
      </c>
      <c r="E221" s="35" t="s">
        <v>4</v>
      </c>
      <c r="F221" s="35" t="s">
        <v>5</v>
      </c>
      <c r="G221" s="35" t="s">
        <v>6</v>
      </c>
      <c r="H221" s="35" t="s">
        <v>5</v>
      </c>
      <c r="I221" s="35" t="s">
        <v>7</v>
      </c>
      <c r="J221" s="35" t="s">
        <v>8</v>
      </c>
      <c r="K221" s="35" t="s">
        <v>8</v>
      </c>
      <c r="L221" s="35" t="s">
        <v>9</v>
      </c>
      <c r="M221" s="35" t="s">
        <v>467</v>
      </c>
      <c r="N221" s="12" t="s">
        <v>10</v>
      </c>
    </row>
    <row r="222" spans="1:15" x14ac:dyDescent="0.25">
      <c r="A222" s="11">
        <v>1</v>
      </c>
      <c r="B222" s="1" t="s">
        <v>429</v>
      </c>
      <c r="C222" s="2" t="s">
        <v>128</v>
      </c>
      <c r="D222" s="13">
        <v>110000</v>
      </c>
      <c r="E222" s="38">
        <v>0</v>
      </c>
      <c r="F222" s="13">
        <f t="shared" ref="F222:F235" si="47">+D222/31*E222</f>
        <v>0</v>
      </c>
      <c r="G222" s="13">
        <v>0</v>
      </c>
      <c r="H222" s="13">
        <f t="shared" ref="H222:H235" si="48">+D222/248*G222</f>
        <v>0</v>
      </c>
      <c r="I222" s="13">
        <f t="shared" ref="I222:I235" si="49">+F222+H222</f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f t="shared" ref="N222:N235" si="50">+J222-K222-L222-M222</f>
        <v>0</v>
      </c>
      <c r="O222" t="s">
        <v>460</v>
      </c>
    </row>
    <row r="223" spans="1:15" x14ac:dyDescent="0.25">
      <c r="A223" s="10">
        <v>2</v>
      </c>
      <c r="B223" s="1" t="s">
        <v>430</v>
      </c>
      <c r="C223" s="2" t="s">
        <v>113</v>
      </c>
      <c r="D223" s="13">
        <v>55000</v>
      </c>
      <c r="E223" s="38">
        <v>0</v>
      </c>
      <c r="F223" s="13">
        <f t="shared" si="47"/>
        <v>0</v>
      </c>
      <c r="G223" s="13">
        <v>0</v>
      </c>
      <c r="H223" s="13">
        <f t="shared" si="48"/>
        <v>0</v>
      </c>
      <c r="I223" s="13">
        <f t="shared" si="49"/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f t="shared" si="50"/>
        <v>0</v>
      </c>
      <c r="O223" t="s">
        <v>454</v>
      </c>
    </row>
    <row r="224" spans="1:15" x14ac:dyDescent="0.25">
      <c r="A224" s="11">
        <v>3</v>
      </c>
      <c r="B224" s="1" t="s">
        <v>122</v>
      </c>
      <c r="C224" s="2" t="s">
        <v>113</v>
      </c>
      <c r="D224" s="13">
        <v>46160</v>
      </c>
      <c r="E224" s="38">
        <v>0</v>
      </c>
      <c r="F224" s="13">
        <f t="shared" si="47"/>
        <v>0</v>
      </c>
      <c r="G224" s="13">
        <v>0</v>
      </c>
      <c r="H224" s="13">
        <f t="shared" si="48"/>
        <v>0</v>
      </c>
      <c r="I224" s="13">
        <f t="shared" si="49"/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f t="shared" si="50"/>
        <v>0</v>
      </c>
      <c r="O224" t="s">
        <v>454</v>
      </c>
    </row>
    <row r="225" spans="1:15" x14ac:dyDescent="0.25">
      <c r="A225" s="10">
        <v>4</v>
      </c>
      <c r="B225" s="1" t="s">
        <v>123</v>
      </c>
      <c r="C225" s="2" t="s">
        <v>113</v>
      </c>
      <c r="D225" s="13">
        <v>41970</v>
      </c>
      <c r="E225" s="38">
        <v>0</v>
      </c>
      <c r="F225" s="13">
        <f t="shared" si="47"/>
        <v>0</v>
      </c>
      <c r="G225" s="13">
        <v>0</v>
      </c>
      <c r="H225" s="13">
        <f t="shared" si="48"/>
        <v>0</v>
      </c>
      <c r="I225" s="13">
        <f t="shared" si="49"/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f t="shared" si="50"/>
        <v>0</v>
      </c>
      <c r="O225" t="s">
        <v>454</v>
      </c>
    </row>
    <row r="226" spans="1:15" x14ac:dyDescent="0.25">
      <c r="A226" s="11">
        <v>5</v>
      </c>
      <c r="B226" s="1" t="s">
        <v>139</v>
      </c>
      <c r="C226" s="1" t="s">
        <v>160</v>
      </c>
      <c r="D226" s="37">
        <v>25620</v>
      </c>
      <c r="E226" s="38">
        <v>0</v>
      </c>
      <c r="F226" s="13">
        <f t="shared" si="47"/>
        <v>0</v>
      </c>
      <c r="G226" s="13">
        <v>0</v>
      </c>
      <c r="H226" s="13">
        <f t="shared" si="48"/>
        <v>0</v>
      </c>
      <c r="I226" s="13">
        <f t="shared" si="49"/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f t="shared" si="50"/>
        <v>0</v>
      </c>
      <c r="O226" t="s">
        <v>454</v>
      </c>
    </row>
    <row r="227" spans="1:15" x14ac:dyDescent="0.25">
      <c r="A227" s="10">
        <v>6</v>
      </c>
      <c r="B227" s="16" t="s">
        <v>340</v>
      </c>
      <c r="C227" s="16" t="s">
        <v>112</v>
      </c>
      <c r="D227" s="41">
        <v>25000</v>
      </c>
      <c r="E227" s="38">
        <v>0</v>
      </c>
      <c r="F227" s="13">
        <f t="shared" si="47"/>
        <v>0</v>
      </c>
      <c r="G227" s="13">
        <v>0</v>
      </c>
      <c r="H227" s="13">
        <f t="shared" si="48"/>
        <v>0</v>
      </c>
      <c r="I227" s="13">
        <f t="shared" si="49"/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f t="shared" si="50"/>
        <v>0</v>
      </c>
      <c r="O227" t="s">
        <v>454</v>
      </c>
    </row>
    <row r="228" spans="1:15" x14ac:dyDescent="0.25">
      <c r="A228" s="11">
        <v>7</v>
      </c>
      <c r="B228" s="1" t="s">
        <v>320</v>
      </c>
      <c r="C228" s="1" t="s">
        <v>112</v>
      </c>
      <c r="D228" s="37">
        <v>25000</v>
      </c>
      <c r="E228" s="38">
        <v>0</v>
      </c>
      <c r="F228" s="13">
        <f t="shared" si="47"/>
        <v>0</v>
      </c>
      <c r="G228" s="13">
        <v>0</v>
      </c>
      <c r="H228" s="13">
        <f t="shared" si="48"/>
        <v>0</v>
      </c>
      <c r="I228" s="13">
        <f t="shared" si="49"/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f t="shared" si="50"/>
        <v>0</v>
      </c>
      <c r="O228" t="s">
        <v>454</v>
      </c>
    </row>
    <row r="229" spans="1:15" x14ac:dyDescent="0.25">
      <c r="A229" s="10">
        <v>8</v>
      </c>
      <c r="B229" s="1" t="s">
        <v>357</v>
      </c>
      <c r="C229" s="1" t="s">
        <v>112</v>
      </c>
      <c r="D229" s="37">
        <v>25000</v>
      </c>
      <c r="E229" s="38">
        <v>0</v>
      </c>
      <c r="F229" s="13">
        <f t="shared" si="47"/>
        <v>0</v>
      </c>
      <c r="G229" s="13">
        <v>0</v>
      </c>
      <c r="H229" s="13">
        <f t="shared" si="48"/>
        <v>0</v>
      </c>
      <c r="I229" s="13">
        <f t="shared" si="49"/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f t="shared" si="50"/>
        <v>0</v>
      </c>
      <c r="O229" t="s">
        <v>454</v>
      </c>
    </row>
    <row r="230" spans="1:15" x14ac:dyDescent="0.25">
      <c r="A230" s="11">
        <v>9</v>
      </c>
      <c r="B230" s="1" t="s">
        <v>390</v>
      </c>
      <c r="C230" s="1" t="s">
        <v>112</v>
      </c>
      <c r="D230" s="37">
        <v>25000</v>
      </c>
      <c r="E230" s="38">
        <v>0</v>
      </c>
      <c r="F230" s="13">
        <f t="shared" si="47"/>
        <v>0</v>
      </c>
      <c r="G230" s="13">
        <v>0</v>
      </c>
      <c r="H230" s="13">
        <f t="shared" si="48"/>
        <v>0</v>
      </c>
      <c r="I230" s="13">
        <f t="shared" si="49"/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f t="shared" si="50"/>
        <v>0</v>
      </c>
      <c r="O230" t="s">
        <v>454</v>
      </c>
    </row>
    <row r="231" spans="1:15" x14ac:dyDescent="0.25">
      <c r="A231" s="10">
        <v>10</v>
      </c>
      <c r="B231" s="1" t="s">
        <v>391</v>
      </c>
      <c r="C231" s="1" t="s">
        <v>112</v>
      </c>
      <c r="D231" s="37">
        <v>25000</v>
      </c>
      <c r="E231" s="38">
        <v>0</v>
      </c>
      <c r="F231" s="13">
        <f t="shared" si="47"/>
        <v>0</v>
      </c>
      <c r="G231" s="13">
        <v>0</v>
      </c>
      <c r="H231" s="13">
        <f t="shared" si="48"/>
        <v>0</v>
      </c>
      <c r="I231" s="13">
        <f t="shared" si="49"/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f t="shared" si="50"/>
        <v>0</v>
      </c>
      <c r="O231" t="s">
        <v>454</v>
      </c>
    </row>
    <row r="232" spans="1:15" x14ac:dyDescent="0.25">
      <c r="A232" s="11">
        <v>11</v>
      </c>
      <c r="B232" s="1" t="s">
        <v>431</v>
      </c>
      <c r="C232" s="1" t="s">
        <v>112</v>
      </c>
      <c r="D232" s="37">
        <v>25000</v>
      </c>
      <c r="E232" s="38">
        <v>0</v>
      </c>
      <c r="F232" s="13">
        <f t="shared" si="47"/>
        <v>0</v>
      </c>
      <c r="G232" s="13">
        <v>0</v>
      </c>
      <c r="H232" s="13">
        <f t="shared" si="48"/>
        <v>0</v>
      </c>
      <c r="I232" s="13">
        <f t="shared" si="49"/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f t="shared" si="50"/>
        <v>0</v>
      </c>
      <c r="O232" t="s">
        <v>454</v>
      </c>
    </row>
    <row r="233" spans="1:15" x14ac:dyDescent="0.25">
      <c r="A233" s="10">
        <v>12</v>
      </c>
      <c r="B233" s="1" t="s">
        <v>426</v>
      </c>
      <c r="C233" s="1" t="s">
        <v>112</v>
      </c>
      <c r="D233" s="37">
        <v>25000</v>
      </c>
      <c r="E233" s="38">
        <v>0</v>
      </c>
      <c r="F233" s="13">
        <f t="shared" si="47"/>
        <v>0</v>
      </c>
      <c r="G233" s="13">
        <v>0</v>
      </c>
      <c r="H233" s="13">
        <f t="shared" si="48"/>
        <v>0</v>
      </c>
      <c r="I233" s="13">
        <f t="shared" si="49"/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f t="shared" si="50"/>
        <v>0</v>
      </c>
      <c r="O233" t="s">
        <v>454</v>
      </c>
    </row>
    <row r="234" spans="1:15" x14ac:dyDescent="0.25">
      <c r="A234" s="11">
        <v>13</v>
      </c>
      <c r="B234" s="1" t="s">
        <v>328</v>
      </c>
      <c r="C234" s="1" t="s">
        <v>112</v>
      </c>
      <c r="D234" s="37">
        <v>25000</v>
      </c>
      <c r="E234" s="38">
        <v>0</v>
      </c>
      <c r="F234" s="13">
        <f t="shared" si="47"/>
        <v>0</v>
      </c>
      <c r="G234" s="13">
        <v>0</v>
      </c>
      <c r="H234" s="13">
        <f t="shared" si="48"/>
        <v>0</v>
      </c>
      <c r="I234" s="13">
        <f t="shared" si="49"/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f t="shared" si="50"/>
        <v>0</v>
      </c>
      <c r="O234" t="s">
        <v>454</v>
      </c>
    </row>
    <row r="235" spans="1:15" ht="15.75" thickBot="1" x14ac:dyDescent="0.3">
      <c r="A235" s="10">
        <v>14</v>
      </c>
      <c r="B235" s="1" t="s">
        <v>432</v>
      </c>
      <c r="C235" s="1" t="s">
        <v>112</v>
      </c>
      <c r="D235" s="37"/>
      <c r="E235" s="38">
        <v>0</v>
      </c>
      <c r="F235" s="13">
        <f t="shared" si="47"/>
        <v>0</v>
      </c>
      <c r="G235" s="13">
        <v>0</v>
      </c>
      <c r="H235" s="13">
        <f t="shared" si="48"/>
        <v>0</v>
      </c>
      <c r="I235" s="13">
        <f t="shared" si="49"/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f t="shared" si="50"/>
        <v>0</v>
      </c>
      <c r="O235" t="s">
        <v>454</v>
      </c>
    </row>
    <row r="236" spans="1:15" ht="15.75" thickBot="1" x14ac:dyDescent="0.3">
      <c r="A236" s="9"/>
      <c r="B236" s="3" t="s">
        <v>11</v>
      </c>
      <c r="C236" s="3"/>
      <c r="D236" s="39">
        <f>SUM(D222:D235)</f>
        <v>478750</v>
      </c>
      <c r="E236" s="39">
        <f t="shared" ref="E236:N236" si="51">SUM(E222:E235)</f>
        <v>0</v>
      </c>
      <c r="F236" s="39">
        <f t="shared" si="51"/>
        <v>0</v>
      </c>
      <c r="G236" s="39">
        <f t="shared" si="51"/>
        <v>0</v>
      </c>
      <c r="H236" s="39">
        <f t="shared" si="51"/>
        <v>0</v>
      </c>
      <c r="I236" s="39">
        <f t="shared" si="51"/>
        <v>0</v>
      </c>
      <c r="J236" s="39">
        <f t="shared" si="51"/>
        <v>0</v>
      </c>
      <c r="K236" s="39">
        <f t="shared" si="51"/>
        <v>0</v>
      </c>
      <c r="L236" s="39">
        <f t="shared" si="51"/>
        <v>0</v>
      </c>
      <c r="M236" s="39">
        <f t="shared" si="51"/>
        <v>0</v>
      </c>
      <c r="N236" s="39">
        <f t="shared" si="51"/>
        <v>0</v>
      </c>
    </row>
    <row r="237" spans="1:15" x14ac:dyDescent="0.25">
      <c r="M237" s="49">
        <f>+N236+N205+N185+N174</f>
        <v>0</v>
      </c>
      <c r="N237" s="49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57" spans="1:15" ht="15.75" thickBot="1" x14ac:dyDescent="0.3">
      <c r="C257" s="6" t="s">
        <v>125</v>
      </c>
    </row>
    <row r="258" spans="1:15" ht="15.75" thickBot="1" x14ac:dyDescent="0.3">
      <c r="A258" s="9" t="s">
        <v>0</v>
      </c>
      <c r="B258" s="3" t="s">
        <v>1</v>
      </c>
      <c r="C258" s="3" t="s">
        <v>2</v>
      </c>
      <c r="D258" s="35" t="s">
        <v>3</v>
      </c>
      <c r="E258" s="35" t="s">
        <v>4</v>
      </c>
      <c r="F258" s="35" t="s">
        <v>5</v>
      </c>
      <c r="G258" s="35" t="s">
        <v>6</v>
      </c>
      <c r="H258" s="35" t="s">
        <v>5</v>
      </c>
      <c r="I258" s="35" t="s">
        <v>7</v>
      </c>
      <c r="J258" s="35" t="s">
        <v>8</v>
      </c>
      <c r="K258" s="35" t="s">
        <v>8</v>
      </c>
      <c r="L258" s="35" t="s">
        <v>9</v>
      </c>
      <c r="M258" s="35" t="s">
        <v>467</v>
      </c>
      <c r="N258" s="12" t="s">
        <v>10</v>
      </c>
    </row>
    <row r="259" spans="1:15" x14ac:dyDescent="0.25">
      <c r="A259" s="10">
        <v>1</v>
      </c>
      <c r="B259" s="2" t="s">
        <v>133</v>
      </c>
      <c r="C259" s="2" t="s">
        <v>128</v>
      </c>
      <c r="D259" s="13">
        <v>106480</v>
      </c>
      <c r="E259" s="38">
        <v>0</v>
      </c>
      <c r="F259" s="13">
        <f t="shared" ref="F259:F270" si="52">+D259/31*E259</f>
        <v>0</v>
      </c>
      <c r="G259" s="13">
        <v>0</v>
      </c>
      <c r="H259" s="13">
        <f t="shared" ref="H259:H270" si="53">+D259/248*G259</f>
        <v>0</v>
      </c>
      <c r="I259" s="13">
        <f t="shared" ref="I259:I270" si="54">+F259+H259</f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f t="shared" ref="N259:N270" si="55">+J259-K259-L259-M259</f>
        <v>0</v>
      </c>
      <c r="O259" t="s">
        <v>460</v>
      </c>
    </row>
    <row r="260" spans="1:15" x14ac:dyDescent="0.25">
      <c r="A260" s="11">
        <v>2</v>
      </c>
      <c r="B260" s="1" t="s">
        <v>134</v>
      </c>
      <c r="C260" s="2" t="s">
        <v>129</v>
      </c>
      <c r="D260" s="13">
        <v>58560</v>
      </c>
      <c r="E260" s="38">
        <v>0</v>
      </c>
      <c r="F260" s="13">
        <f t="shared" si="52"/>
        <v>0</v>
      </c>
      <c r="G260" s="13">
        <v>0</v>
      </c>
      <c r="H260" s="13">
        <f t="shared" si="53"/>
        <v>0</v>
      </c>
      <c r="I260" s="13">
        <f t="shared" si="54"/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f t="shared" si="55"/>
        <v>0</v>
      </c>
      <c r="O260" t="s">
        <v>454</v>
      </c>
    </row>
    <row r="261" spans="1:15" x14ac:dyDescent="0.25">
      <c r="A261" s="10">
        <v>3</v>
      </c>
      <c r="B261" s="1" t="s">
        <v>135</v>
      </c>
      <c r="C261" s="2" t="s">
        <v>129</v>
      </c>
      <c r="D261" s="37">
        <v>53240</v>
      </c>
      <c r="E261" s="38">
        <v>0</v>
      </c>
      <c r="F261" s="13">
        <f t="shared" si="52"/>
        <v>0</v>
      </c>
      <c r="G261" s="13">
        <v>0</v>
      </c>
      <c r="H261" s="13">
        <f t="shared" si="53"/>
        <v>0</v>
      </c>
      <c r="I261" s="13">
        <f t="shared" si="54"/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f t="shared" si="55"/>
        <v>0</v>
      </c>
      <c r="O261" t="s">
        <v>454</v>
      </c>
    </row>
    <row r="262" spans="1:15" x14ac:dyDescent="0.25">
      <c r="A262" s="11">
        <v>4</v>
      </c>
      <c r="B262" s="1" t="s">
        <v>136</v>
      </c>
      <c r="C262" s="1" t="s">
        <v>130</v>
      </c>
      <c r="D262" s="37">
        <v>43920</v>
      </c>
      <c r="E262" s="38">
        <v>0</v>
      </c>
      <c r="F262" s="13">
        <f t="shared" si="52"/>
        <v>0</v>
      </c>
      <c r="G262" s="13">
        <v>0</v>
      </c>
      <c r="H262" s="13">
        <f t="shared" si="53"/>
        <v>0</v>
      </c>
      <c r="I262" s="13">
        <f t="shared" si="54"/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f t="shared" si="55"/>
        <v>0</v>
      </c>
      <c r="O262" t="s">
        <v>454</v>
      </c>
    </row>
    <row r="263" spans="1:15" x14ac:dyDescent="0.25">
      <c r="A263" s="10">
        <v>5</v>
      </c>
      <c r="B263" s="1" t="s">
        <v>392</v>
      </c>
      <c r="C263" s="1" t="s">
        <v>130</v>
      </c>
      <c r="D263" s="37">
        <v>39930</v>
      </c>
      <c r="E263" s="38">
        <v>0</v>
      </c>
      <c r="F263" s="13">
        <f t="shared" si="52"/>
        <v>0</v>
      </c>
      <c r="G263" s="13">
        <v>0</v>
      </c>
      <c r="H263" s="13">
        <f t="shared" si="53"/>
        <v>0</v>
      </c>
      <c r="I263" s="13">
        <f t="shared" si="54"/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f t="shared" si="55"/>
        <v>0</v>
      </c>
      <c r="O263" t="s">
        <v>454</v>
      </c>
    </row>
    <row r="264" spans="1:15" x14ac:dyDescent="0.25">
      <c r="A264" s="11">
        <v>6</v>
      </c>
      <c r="B264" s="1" t="s">
        <v>137</v>
      </c>
      <c r="C264" s="1" t="s">
        <v>131</v>
      </c>
      <c r="D264" s="37">
        <v>35140</v>
      </c>
      <c r="E264" s="38">
        <v>0</v>
      </c>
      <c r="F264" s="13">
        <f t="shared" si="52"/>
        <v>0</v>
      </c>
      <c r="G264" s="13">
        <v>0</v>
      </c>
      <c r="H264" s="13">
        <f t="shared" si="53"/>
        <v>0</v>
      </c>
      <c r="I264" s="13">
        <f t="shared" si="54"/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f t="shared" si="55"/>
        <v>0</v>
      </c>
      <c r="O264" t="s">
        <v>454</v>
      </c>
    </row>
    <row r="265" spans="1:15" x14ac:dyDescent="0.25">
      <c r="A265" s="10">
        <v>7</v>
      </c>
      <c r="B265" s="1" t="s">
        <v>138</v>
      </c>
      <c r="C265" s="1" t="s">
        <v>131</v>
      </c>
      <c r="D265" s="37">
        <v>35140</v>
      </c>
      <c r="E265" s="38">
        <v>0</v>
      </c>
      <c r="F265" s="13">
        <f t="shared" si="52"/>
        <v>0</v>
      </c>
      <c r="G265" s="13">
        <v>0</v>
      </c>
      <c r="H265" s="13">
        <f t="shared" si="53"/>
        <v>0</v>
      </c>
      <c r="I265" s="13">
        <f t="shared" si="54"/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f t="shared" si="55"/>
        <v>0</v>
      </c>
      <c r="O265" t="s">
        <v>454</v>
      </c>
    </row>
    <row r="266" spans="1:15" x14ac:dyDescent="0.25">
      <c r="A266" s="11">
        <v>8</v>
      </c>
      <c r="B266" s="1" t="s">
        <v>327</v>
      </c>
      <c r="C266" s="1" t="s">
        <v>132</v>
      </c>
      <c r="D266" s="41">
        <v>25500</v>
      </c>
      <c r="E266" s="38">
        <v>0</v>
      </c>
      <c r="F266" s="13">
        <f t="shared" si="52"/>
        <v>0</v>
      </c>
      <c r="G266" s="13">
        <v>0</v>
      </c>
      <c r="H266" s="13">
        <f t="shared" si="53"/>
        <v>0</v>
      </c>
      <c r="I266" s="13">
        <f t="shared" si="54"/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f t="shared" si="55"/>
        <v>0</v>
      </c>
      <c r="O266" t="s">
        <v>454</v>
      </c>
    </row>
    <row r="267" spans="1:15" x14ac:dyDescent="0.25">
      <c r="A267" s="10">
        <v>9</v>
      </c>
      <c r="B267" s="1" t="s">
        <v>139</v>
      </c>
      <c r="C267" s="1" t="s">
        <v>132</v>
      </c>
      <c r="D267" s="41">
        <v>25500</v>
      </c>
      <c r="E267" s="38">
        <v>0</v>
      </c>
      <c r="F267" s="13">
        <f t="shared" si="52"/>
        <v>0</v>
      </c>
      <c r="G267" s="13">
        <v>0</v>
      </c>
      <c r="H267" s="13">
        <f t="shared" si="53"/>
        <v>0</v>
      </c>
      <c r="I267" s="13">
        <f t="shared" si="54"/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f t="shared" si="55"/>
        <v>0</v>
      </c>
      <c r="O267" t="s">
        <v>454</v>
      </c>
    </row>
    <row r="268" spans="1:15" x14ac:dyDescent="0.25">
      <c r="A268" s="11">
        <v>10</v>
      </c>
      <c r="B268" s="1" t="s">
        <v>42</v>
      </c>
      <c r="C268" s="1" t="s">
        <v>112</v>
      </c>
      <c r="D268" s="37">
        <v>25000</v>
      </c>
      <c r="E268" s="38">
        <v>0</v>
      </c>
      <c r="F268" s="13">
        <f t="shared" si="52"/>
        <v>0</v>
      </c>
      <c r="G268" s="13">
        <v>0</v>
      </c>
      <c r="H268" s="13">
        <f t="shared" si="53"/>
        <v>0</v>
      </c>
      <c r="I268" s="13">
        <f t="shared" si="54"/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f t="shared" si="55"/>
        <v>0</v>
      </c>
      <c r="O268" t="s">
        <v>454</v>
      </c>
    </row>
    <row r="269" spans="1:15" x14ac:dyDescent="0.25">
      <c r="A269" s="10">
        <v>11</v>
      </c>
      <c r="B269" s="1" t="s">
        <v>277</v>
      </c>
      <c r="C269" s="1" t="s">
        <v>112</v>
      </c>
      <c r="D269" s="37">
        <v>25000</v>
      </c>
      <c r="E269" s="38">
        <v>0</v>
      </c>
      <c r="F269" s="13">
        <f t="shared" si="52"/>
        <v>0</v>
      </c>
      <c r="G269" s="13">
        <v>0</v>
      </c>
      <c r="H269" s="13">
        <f t="shared" si="53"/>
        <v>0</v>
      </c>
      <c r="I269" s="13">
        <f t="shared" si="54"/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f t="shared" si="55"/>
        <v>0</v>
      </c>
      <c r="O269" t="s">
        <v>454</v>
      </c>
    </row>
    <row r="270" spans="1:15" ht="15.75" thickBot="1" x14ac:dyDescent="0.3">
      <c r="A270" s="11">
        <v>12</v>
      </c>
      <c r="B270" s="1" t="s">
        <v>357</v>
      </c>
      <c r="C270" s="1" t="s">
        <v>112</v>
      </c>
      <c r="D270" s="37">
        <v>25000</v>
      </c>
      <c r="E270" s="38">
        <v>0</v>
      </c>
      <c r="F270" s="13">
        <f t="shared" si="52"/>
        <v>0</v>
      </c>
      <c r="G270" s="13">
        <v>0</v>
      </c>
      <c r="H270" s="13">
        <f t="shared" si="53"/>
        <v>0</v>
      </c>
      <c r="I270" s="13">
        <f t="shared" si="54"/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f t="shared" si="55"/>
        <v>0</v>
      </c>
      <c r="O270" t="s">
        <v>454</v>
      </c>
    </row>
    <row r="271" spans="1:15" ht="15.75" thickBot="1" x14ac:dyDescent="0.3">
      <c r="A271" s="9"/>
      <c r="B271" s="3" t="s">
        <v>11</v>
      </c>
      <c r="C271" s="3"/>
      <c r="D271" s="39">
        <f>SUM(D259:D270)</f>
        <v>498410</v>
      </c>
      <c r="E271" s="39">
        <f t="shared" ref="E271:N271" si="56">SUM(E259:E270)</f>
        <v>0</v>
      </c>
      <c r="F271" s="39">
        <f t="shared" si="56"/>
        <v>0</v>
      </c>
      <c r="G271" s="39">
        <f t="shared" si="56"/>
        <v>0</v>
      </c>
      <c r="H271" s="39">
        <f t="shared" si="56"/>
        <v>0</v>
      </c>
      <c r="I271" s="39">
        <f t="shared" si="56"/>
        <v>0</v>
      </c>
      <c r="J271" s="39">
        <f t="shared" si="56"/>
        <v>0</v>
      </c>
      <c r="K271" s="39">
        <f t="shared" si="56"/>
        <v>0</v>
      </c>
      <c r="L271" s="39">
        <f t="shared" si="56"/>
        <v>0</v>
      </c>
      <c r="M271" s="39">
        <f t="shared" si="56"/>
        <v>0</v>
      </c>
      <c r="N271" s="39">
        <f t="shared" si="56"/>
        <v>0</v>
      </c>
    </row>
    <row r="278" spans="1:15" ht="15.75" thickBot="1" x14ac:dyDescent="0.3">
      <c r="C278" s="6" t="s">
        <v>126</v>
      </c>
    </row>
    <row r="279" spans="1:15" ht="15.75" thickBot="1" x14ac:dyDescent="0.3">
      <c r="A279" s="9" t="s">
        <v>0</v>
      </c>
      <c r="B279" s="3" t="s">
        <v>1</v>
      </c>
      <c r="C279" s="3" t="s">
        <v>2</v>
      </c>
      <c r="D279" s="35" t="s">
        <v>3</v>
      </c>
      <c r="E279" s="35" t="s">
        <v>4</v>
      </c>
      <c r="F279" s="35" t="s">
        <v>5</v>
      </c>
      <c r="G279" s="35" t="s">
        <v>6</v>
      </c>
      <c r="H279" s="35" t="s">
        <v>5</v>
      </c>
      <c r="I279" s="35" t="s">
        <v>7</v>
      </c>
      <c r="J279" s="35" t="s">
        <v>8</v>
      </c>
      <c r="K279" s="35" t="s">
        <v>8</v>
      </c>
      <c r="L279" s="35" t="s">
        <v>9</v>
      </c>
      <c r="M279" s="35" t="s">
        <v>467</v>
      </c>
      <c r="N279" s="12" t="s">
        <v>10</v>
      </c>
    </row>
    <row r="280" spans="1:15" x14ac:dyDescent="0.25">
      <c r="A280" s="10">
        <v>1</v>
      </c>
      <c r="B280" s="2" t="s">
        <v>142</v>
      </c>
      <c r="C280" s="2" t="s">
        <v>140</v>
      </c>
      <c r="D280" s="13">
        <v>107900</v>
      </c>
      <c r="E280" s="38">
        <v>0</v>
      </c>
      <c r="F280" s="13">
        <f t="shared" ref="F280:F285" si="57">+D280/31*E280</f>
        <v>0</v>
      </c>
      <c r="G280" s="13">
        <v>0</v>
      </c>
      <c r="H280" s="13">
        <f t="shared" ref="H280:H285" si="58">+D280/248*G280</f>
        <v>0</v>
      </c>
      <c r="I280" s="13">
        <f t="shared" ref="I280:I285" si="59">+F280+H280</f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f t="shared" ref="N280:N285" si="60">+J280-K280-L280-M280</f>
        <v>0</v>
      </c>
      <c r="O280" t="s">
        <v>454</v>
      </c>
    </row>
    <row r="281" spans="1:15" x14ac:dyDescent="0.25">
      <c r="A281" s="11">
        <v>2</v>
      </c>
      <c r="B281" s="1" t="s">
        <v>143</v>
      </c>
      <c r="C281" s="2" t="s">
        <v>141</v>
      </c>
      <c r="D281" s="13">
        <v>42350</v>
      </c>
      <c r="E281" s="38">
        <v>0</v>
      </c>
      <c r="F281" s="13">
        <f t="shared" si="57"/>
        <v>0</v>
      </c>
      <c r="G281" s="13">
        <v>0</v>
      </c>
      <c r="H281" s="13">
        <f t="shared" si="58"/>
        <v>0</v>
      </c>
      <c r="I281" s="13">
        <f t="shared" si="59"/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f t="shared" si="60"/>
        <v>0</v>
      </c>
      <c r="O281" t="s">
        <v>454</v>
      </c>
    </row>
    <row r="282" spans="1:15" x14ac:dyDescent="0.25">
      <c r="A282" s="10">
        <v>3</v>
      </c>
      <c r="B282" s="1" t="s">
        <v>320</v>
      </c>
      <c r="C282" s="2" t="s">
        <v>141</v>
      </c>
      <c r="D282" s="37">
        <v>38000</v>
      </c>
      <c r="E282" s="38">
        <v>0</v>
      </c>
      <c r="F282" s="13">
        <f t="shared" si="57"/>
        <v>0</v>
      </c>
      <c r="G282" s="13">
        <v>0</v>
      </c>
      <c r="H282" s="13">
        <f t="shared" si="58"/>
        <v>0</v>
      </c>
      <c r="I282" s="13">
        <f t="shared" si="59"/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f t="shared" si="60"/>
        <v>0</v>
      </c>
      <c r="O282" t="s">
        <v>454</v>
      </c>
    </row>
    <row r="283" spans="1:15" x14ac:dyDescent="0.25">
      <c r="A283" s="11">
        <v>4</v>
      </c>
      <c r="B283" s="1" t="s">
        <v>145</v>
      </c>
      <c r="C283" s="1" t="s">
        <v>130</v>
      </c>
      <c r="D283" s="37">
        <v>29700</v>
      </c>
      <c r="E283" s="38">
        <v>0</v>
      </c>
      <c r="F283" s="13">
        <f t="shared" si="57"/>
        <v>0</v>
      </c>
      <c r="G283" s="13">
        <v>0</v>
      </c>
      <c r="H283" s="13">
        <f t="shared" si="58"/>
        <v>0</v>
      </c>
      <c r="I283" s="13">
        <f t="shared" si="59"/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f t="shared" si="60"/>
        <v>0</v>
      </c>
      <c r="O283" t="s">
        <v>454</v>
      </c>
    </row>
    <row r="284" spans="1:15" x14ac:dyDescent="0.25">
      <c r="A284" s="10">
        <v>5</v>
      </c>
      <c r="B284" s="1" t="s">
        <v>190</v>
      </c>
      <c r="C284" s="1" t="s">
        <v>130</v>
      </c>
      <c r="D284" s="37">
        <v>29700</v>
      </c>
      <c r="E284" s="38">
        <v>0</v>
      </c>
      <c r="F284" s="13">
        <f t="shared" si="57"/>
        <v>0</v>
      </c>
      <c r="G284" s="13">
        <v>0</v>
      </c>
      <c r="H284" s="13">
        <f t="shared" si="58"/>
        <v>0</v>
      </c>
      <c r="I284" s="13">
        <f t="shared" si="59"/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f t="shared" si="60"/>
        <v>0</v>
      </c>
      <c r="O284" t="s">
        <v>454</v>
      </c>
    </row>
    <row r="285" spans="1:15" ht="15.75" thickBot="1" x14ac:dyDescent="0.3">
      <c r="A285" s="11">
        <v>6</v>
      </c>
      <c r="B285" s="1" t="s">
        <v>41</v>
      </c>
      <c r="C285" s="1" t="s">
        <v>112</v>
      </c>
      <c r="D285" s="37">
        <v>25000</v>
      </c>
      <c r="E285" s="38">
        <v>0</v>
      </c>
      <c r="F285" s="13">
        <f t="shared" si="57"/>
        <v>0</v>
      </c>
      <c r="G285" s="13">
        <v>0</v>
      </c>
      <c r="H285" s="13">
        <f t="shared" si="58"/>
        <v>0</v>
      </c>
      <c r="I285" s="13">
        <f t="shared" si="59"/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f t="shared" si="60"/>
        <v>0</v>
      </c>
      <c r="O285" t="s">
        <v>454</v>
      </c>
    </row>
    <row r="286" spans="1:15" ht="15.75" thickBot="1" x14ac:dyDescent="0.3">
      <c r="A286" s="9"/>
      <c r="B286" s="3" t="s">
        <v>11</v>
      </c>
      <c r="C286" s="3"/>
      <c r="D286" s="39">
        <f>SUM(D280:D285)</f>
        <v>272650</v>
      </c>
      <c r="E286" s="39">
        <f>SUM(E280:E285)</f>
        <v>0</v>
      </c>
      <c r="F286" s="39">
        <f>SUM(F280:F285)</f>
        <v>0</v>
      </c>
      <c r="G286" s="39">
        <f>SUM(G280:G285)</f>
        <v>0</v>
      </c>
      <c r="H286" s="39">
        <f>SUM(H280:H285)</f>
        <v>0</v>
      </c>
      <c r="I286" s="39">
        <f>SUM(I280:I285)</f>
        <v>0</v>
      </c>
      <c r="J286" s="39">
        <f>SUM(J280:J285)</f>
        <v>0</v>
      </c>
      <c r="K286" s="39">
        <f>SUM(K280:K285)</f>
        <v>0</v>
      </c>
      <c r="L286" s="39">
        <f>SUM(L280:L285)</f>
        <v>0</v>
      </c>
      <c r="M286" s="39">
        <f>SUM(M280:M285)</f>
        <v>0</v>
      </c>
      <c r="N286" s="39">
        <f>SUM(N280:N285)</f>
        <v>0</v>
      </c>
    </row>
    <row r="287" spans="1:15" x14ac:dyDescent="0.25">
      <c r="N287" s="14"/>
    </row>
    <row r="293" spans="1:15" ht="15.75" thickBot="1" x14ac:dyDescent="0.3">
      <c r="C293" s="6" t="s">
        <v>127</v>
      </c>
    </row>
    <row r="294" spans="1:15" ht="15.75" thickBot="1" x14ac:dyDescent="0.3">
      <c r="A294" s="9" t="s">
        <v>0</v>
      </c>
      <c r="B294" s="3" t="s">
        <v>1</v>
      </c>
      <c r="C294" s="3" t="s">
        <v>2</v>
      </c>
      <c r="D294" s="35" t="s">
        <v>3</v>
      </c>
      <c r="E294" s="35" t="s">
        <v>4</v>
      </c>
      <c r="F294" s="35" t="s">
        <v>5</v>
      </c>
      <c r="G294" s="35" t="s">
        <v>6</v>
      </c>
      <c r="H294" s="35" t="s">
        <v>5</v>
      </c>
      <c r="I294" s="35" t="s">
        <v>7</v>
      </c>
      <c r="J294" s="35" t="s">
        <v>8</v>
      </c>
      <c r="K294" s="35" t="s">
        <v>8</v>
      </c>
      <c r="L294" s="35" t="s">
        <v>9</v>
      </c>
      <c r="M294" s="35" t="s">
        <v>467</v>
      </c>
      <c r="N294" s="12" t="s">
        <v>10</v>
      </c>
    </row>
    <row r="295" spans="1:15" x14ac:dyDescent="0.25">
      <c r="A295" s="10">
        <v>1</v>
      </c>
      <c r="B295" s="2" t="s">
        <v>148</v>
      </c>
      <c r="C295" s="2" t="s">
        <v>147</v>
      </c>
      <c r="D295" s="13">
        <v>126500</v>
      </c>
      <c r="E295" s="38">
        <v>0</v>
      </c>
      <c r="F295" s="13">
        <f t="shared" ref="F295:F302" si="61">+D295/31*E295</f>
        <v>0</v>
      </c>
      <c r="G295" s="13">
        <v>0</v>
      </c>
      <c r="H295" s="13">
        <f t="shared" ref="H295:H302" si="62">+D295/248*G295</f>
        <v>0</v>
      </c>
      <c r="I295" s="13">
        <f t="shared" ref="I295:I302" si="63">+F295+H295</f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f t="shared" ref="N295:N302" si="64">+J295-K295-L295-M295</f>
        <v>0</v>
      </c>
      <c r="O295" t="s">
        <v>454</v>
      </c>
    </row>
    <row r="296" spans="1:15" x14ac:dyDescent="0.25">
      <c r="A296" s="10">
        <v>2</v>
      </c>
      <c r="B296" s="1" t="s">
        <v>153</v>
      </c>
      <c r="C296" s="2" t="s">
        <v>149</v>
      </c>
      <c r="D296" s="37">
        <v>66550</v>
      </c>
      <c r="E296" s="38">
        <v>0</v>
      </c>
      <c r="F296" s="13">
        <f t="shared" si="61"/>
        <v>0</v>
      </c>
      <c r="G296" s="13">
        <v>0</v>
      </c>
      <c r="H296" s="13">
        <f t="shared" si="62"/>
        <v>0</v>
      </c>
      <c r="I296" s="13">
        <f t="shared" si="63"/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f t="shared" si="64"/>
        <v>0</v>
      </c>
      <c r="O296" t="s">
        <v>454</v>
      </c>
    </row>
    <row r="297" spans="1:15" x14ac:dyDescent="0.25">
      <c r="A297" s="10">
        <v>3</v>
      </c>
      <c r="B297" s="1" t="s">
        <v>152</v>
      </c>
      <c r="C297" s="2" t="s">
        <v>149</v>
      </c>
      <c r="D297" s="13">
        <v>66550</v>
      </c>
      <c r="E297" s="38">
        <v>0</v>
      </c>
      <c r="F297" s="13">
        <f t="shared" si="61"/>
        <v>0</v>
      </c>
      <c r="G297" s="13">
        <v>0</v>
      </c>
      <c r="H297" s="13">
        <f t="shared" si="62"/>
        <v>0</v>
      </c>
      <c r="I297" s="13">
        <f t="shared" si="63"/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f t="shared" si="64"/>
        <v>0</v>
      </c>
      <c r="O297" t="s">
        <v>454</v>
      </c>
    </row>
    <row r="298" spans="1:15" x14ac:dyDescent="0.25">
      <c r="A298" s="10">
        <v>4</v>
      </c>
      <c r="B298" s="1" t="s">
        <v>51</v>
      </c>
      <c r="C298" s="1" t="s">
        <v>150</v>
      </c>
      <c r="D298" s="37">
        <v>44770</v>
      </c>
      <c r="E298" s="38">
        <v>0</v>
      </c>
      <c r="F298" s="13">
        <f t="shared" si="61"/>
        <v>0</v>
      </c>
      <c r="G298" s="13">
        <v>0</v>
      </c>
      <c r="H298" s="13">
        <f t="shared" si="62"/>
        <v>0</v>
      </c>
      <c r="I298" s="13">
        <f t="shared" si="63"/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f t="shared" si="64"/>
        <v>0</v>
      </c>
      <c r="O298" t="s">
        <v>454</v>
      </c>
    </row>
    <row r="299" spans="1:15" x14ac:dyDescent="0.25">
      <c r="A299" s="10">
        <v>5</v>
      </c>
      <c r="B299" s="1" t="s">
        <v>154</v>
      </c>
      <c r="C299" s="1" t="s">
        <v>150</v>
      </c>
      <c r="D299" s="37">
        <v>44770</v>
      </c>
      <c r="E299" s="38">
        <v>0</v>
      </c>
      <c r="F299" s="13">
        <f t="shared" si="61"/>
        <v>0</v>
      </c>
      <c r="G299" s="13">
        <v>0</v>
      </c>
      <c r="H299" s="13">
        <f t="shared" si="62"/>
        <v>0</v>
      </c>
      <c r="I299" s="13">
        <f t="shared" si="63"/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f t="shared" si="64"/>
        <v>0</v>
      </c>
      <c r="O299" t="s">
        <v>454</v>
      </c>
    </row>
    <row r="300" spans="1:15" x14ac:dyDescent="0.25">
      <c r="A300" s="10">
        <v>6</v>
      </c>
      <c r="B300" s="1" t="s">
        <v>155</v>
      </c>
      <c r="C300" s="1" t="s">
        <v>358</v>
      </c>
      <c r="D300" s="37">
        <v>30250</v>
      </c>
      <c r="E300" s="38">
        <v>0</v>
      </c>
      <c r="F300" s="13">
        <f t="shared" si="61"/>
        <v>0</v>
      </c>
      <c r="G300" s="13">
        <v>0</v>
      </c>
      <c r="H300" s="13">
        <f t="shared" si="62"/>
        <v>0</v>
      </c>
      <c r="I300" s="13">
        <f t="shared" si="63"/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f t="shared" si="64"/>
        <v>0</v>
      </c>
      <c r="O300" t="s">
        <v>454</v>
      </c>
    </row>
    <row r="301" spans="1:15" x14ac:dyDescent="0.25">
      <c r="A301" s="10">
        <v>7</v>
      </c>
      <c r="B301" s="1" t="s">
        <v>290</v>
      </c>
      <c r="C301" s="1" t="s">
        <v>151</v>
      </c>
      <c r="D301" s="37">
        <v>30250</v>
      </c>
      <c r="E301" s="38">
        <v>0</v>
      </c>
      <c r="F301" s="13">
        <f t="shared" si="61"/>
        <v>0</v>
      </c>
      <c r="G301" s="13">
        <v>0</v>
      </c>
      <c r="H301" s="13">
        <f t="shared" si="62"/>
        <v>0</v>
      </c>
      <c r="I301" s="13">
        <f t="shared" si="63"/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f t="shared" si="64"/>
        <v>0</v>
      </c>
      <c r="O301" t="s">
        <v>454</v>
      </c>
    </row>
    <row r="302" spans="1:15" ht="15.75" thickBot="1" x14ac:dyDescent="0.3">
      <c r="A302" s="10">
        <v>8</v>
      </c>
      <c r="B302" s="1" t="s">
        <v>359</v>
      </c>
      <c r="C302" s="1" t="s">
        <v>112</v>
      </c>
      <c r="D302" s="37">
        <v>25000</v>
      </c>
      <c r="E302" s="38">
        <v>0</v>
      </c>
      <c r="F302" s="13">
        <f t="shared" si="61"/>
        <v>0</v>
      </c>
      <c r="G302" s="13">
        <v>0</v>
      </c>
      <c r="H302" s="13">
        <f t="shared" si="62"/>
        <v>0</v>
      </c>
      <c r="I302" s="13">
        <f t="shared" si="63"/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f t="shared" si="64"/>
        <v>0</v>
      </c>
      <c r="O302" t="s">
        <v>454</v>
      </c>
    </row>
    <row r="303" spans="1:15" ht="15.75" thickBot="1" x14ac:dyDescent="0.3">
      <c r="A303" s="9"/>
      <c r="B303" s="3" t="s">
        <v>11</v>
      </c>
      <c r="C303" s="3"/>
      <c r="D303" s="39">
        <f>SUM(D295:D302)</f>
        <v>434640</v>
      </c>
      <c r="E303" s="39">
        <f>SUM(E295:E302)</f>
        <v>0</v>
      </c>
      <c r="F303" s="39">
        <f>SUM(F295:F302)</f>
        <v>0</v>
      </c>
      <c r="G303" s="39">
        <f>SUM(G295:G302)</f>
        <v>0</v>
      </c>
      <c r="H303" s="39">
        <f>SUM(H295:H302)</f>
        <v>0</v>
      </c>
      <c r="I303" s="39">
        <f>SUM(I295:I302)</f>
        <v>0</v>
      </c>
      <c r="J303" s="39">
        <f>SUM(J295:J302)</f>
        <v>0</v>
      </c>
      <c r="K303" s="39">
        <f>SUM(K295:K302)</f>
        <v>0</v>
      </c>
      <c r="L303" s="39">
        <f>SUM(L295:L302)</f>
        <v>0</v>
      </c>
      <c r="M303" s="39">
        <f>SUM(M295:M302)</f>
        <v>0</v>
      </c>
      <c r="N303" s="39">
        <f>SUM(N295:N302)</f>
        <v>0</v>
      </c>
    </row>
    <row r="304" spans="1:15" x14ac:dyDescent="0.25">
      <c r="N304" s="14">
        <f>+N303+N286+N271</f>
        <v>0</v>
      </c>
    </row>
    <row r="329" spans="1:15" ht="15.75" thickBot="1" x14ac:dyDescent="0.3">
      <c r="C329" s="6" t="s">
        <v>156</v>
      </c>
    </row>
    <row r="330" spans="1:15" ht="15.75" thickBot="1" x14ac:dyDescent="0.3">
      <c r="A330" s="9" t="s">
        <v>0</v>
      </c>
      <c r="B330" s="3" t="s">
        <v>1</v>
      </c>
      <c r="C330" s="3" t="s">
        <v>2</v>
      </c>
      <c r="D330" s="35" t="s">
        <v>3</v>
      </c>
      <c r="E330" s="35" t="s">
        <v>4</v>
      </c>
      <c r="F330" s="35" t="s">
        <v>5</v>
      </c>
      <c r="G330" s="35" t="s">
        <v>6</v>
      </c>
      <c r="H330" s="35" t="s">
        <v>5</v>
      </c>
      <c r="I330" s="35" t="s">
        <v>7</v>
      </c>
      <c r="J330" s="35" t="s">
        <v>8</v>
      </c>
      <c r="K330" s="35" t="s">
        <v>8</v>
      </c>
      <c r="L330" s="35" t="s">
        <v>9</v>
      </c>
      <c r="M330" s="35" t="s">
        <v>467</v>
      </c>
      <c r="N330" s="12" t="s">
        <v>10</v>
      </c>
    </row>
    <row r="331" spans="1:15" x14ac:dyDescent="0.25">
      <c r="A331" s="10">
        <v>1</v>
      </c>
      <c r="B331" s="2" t="s">
        <v>162</v>
      </c>
      <c r="C331" s="2" t="s">
        <v>157</v>
      </c>
      <c r="D331" s="13">
        <v>242000</v>
      </c>
      <c r="E331" s="38">
        <v>0</v>
      </c>
      <c r="F331" s="13">
        <f t="shared" ref="F331:F345" si="65">+D331/31*E331</f>
        <v>0</v>
      </c>
      <c r="G331" s="13">
        <v>0</v>
      </c>
      <c r="H331" s="13">
        <f t="shared" ref="H331:H345" si="66">+D331/248*G331</f>
        <v>0</v>
      </c>
      <c r="I331" s="13">
        <f t="shared" ref="I331:I345" si="67">+F331+H331</f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f t="shared" ref="N331:N345" si="68">+J331-K331-L331-M331</f>
        <v>0</v>
      </c>
      <c r="O331" t="s">
        <v>460</v>
      </c>
    </row>
    <row r="332" spans="1:15" x14ac:dyDescent="0.25">
      <c r="A332" s="11">
        <v>2</v>
      </c>
      <c r="B332" s="1" t="s">
        <v>146</v>
      </c>
      <c r="C332" s="2" t="s">
        <v>101</v>
      </c>
      <c r="D332" s="13">
        <v>84700</v>
      </c>
      <c r="E332" s="38">
        <v>0</v>
      </c>
      <c r="F332" s="13">
        <f t="shared" si="65"/>
        <v>0</v>
      </c>
      <c r="G332" s="13">
        <v>0</v>
      </c>
      <c r="H332" s="13">
        <f t="shared" si="66"/>
        <v>0</v>
      </c>
      <c r="I332" s="13">
        <f t="shared" si="67"/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f t="shared" si="68"/>
        <v>0</v>
      </c>
      <c r="O332" t="s">
        <v>466</v>
      </c>
    </row>
    <row r="333" spans="1:15" x14ac:dyDescent="0.25">
      <c r="A333" s="10">
        <v>3</v>
      </c>
      <c r="B333" s="1" t="s">
        <v>163</v>
      </c>
      <c r="C333" s="1" t="s">
        <v>158</v>
      </c>
      <c r="D333" s="37">
        <v>67650</v>
      </c>
      <c r="E333" s="38">
        <v>0</v>
      </c>
      <c r="F333" s="13">
        <f t="shared" si="65"/>
        <v>0</v>
      </c>
      <c r="G333" s="13">
        <v>0</v>
      </c>
      <c r="H333" s="13">
        <f t="shared" si="66"/>
        <v>0</v>
      </c>
      <c r="I333" s="13">
        <f t="shared" si="67"/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f t="shared" si="68"/>
        <v>0</v>
      </c>
      <c r="O333" t="s">
        <v>466</v>
      </c>
    </row>
    <row r="334" spans="1:15" x14ac:dyDescent="0.25">
      <c r="A334" s="11">
        <v>4</v>
      </c>
      <c r="B334" s="1" t="s">
        <v>433</v>
      </c>
      <c r="C334" s="1" t="s">
        <v>158</v>
      </c>
      <c r="D334" s="37">
        <v>55900</v>
      </c>
      <c r="E334" s="38">
        <v>0</v>
      </c>
      <c r="F334" s="13">
        <f t="shared" si="65"/>
        <v>0</v>
      </c>
      <c r="G334" s="13">
        <v>0</v>
      </c>
      <c r="H334" s="13">
        <f t="shared" si="66"/>
        <v>0</v>
      </c>
      <c r="I334" s="13">
        <f t="shared" si="67"/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f t="shared" si="68"/>
        <v>0</v>
      </c>
      <c r="O334" t="s">
        <v>466</v>
      </c>
    </row>
    <row r="335" spans="1:15" x14ac:dyDescent="0.25">
      <c r="A335" s="10">
        <v>5</v>
      </c>
      <c r="B335" s="1" t="s">
        <v>144</v>
      </c>
      <c r="C335" s="1" t="s">
        <v>113</v>
      </c>
      <c r="D335" s="37">
        <v>33000</v>
      </c>
      <c r="E335" s="38">
        <v>0</v>
      </c>
      <c r="F335" s="13">
        <f t="shared" si="65"/>
        <v>0</v>
      </c>
      <c r="G335" s="13">
        <v>0</v>
      </c>
      <c r="H335" s="13">
        <f t="shared" si="66"/>
        <v>0</v>
      </c>
      <c r="I335" s="13">
        <f t="shared" si="67"/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f t="shared" si="68"/>
        <v>0</v>
      </c>
      <c r="O335" t="s">
        <v>454</v>
      </c>
    </row>
    <row r="336" spans="1:15" x14ac:dyDescent="0.25">
      <c r="A336" s="11">
        <v>6</v>
      </c>
      <c r="B336" s="1" t="s">
        <v>166</v>
      </c>
      <c r="C336" s="1" t="s">
        <v>159</v>
      </c>
      <c r="D336" s="37">
        <v>30690</v>
      </c>
      <c r="E336" s="38">
        <v>0</v>
      </c>
      <c r="F336" s="13">
        <f t="shared" si="65"/>
        <v>0</v>
      </c>
      <c r="G336" s="13">
        <v>0</v>
      </c>
      <c r="H336" s="13">
        <f t="shared" si="66"/>
        <v>0</v>
      </c>
      <c r="I336" s="13">
        <f t="shared" si="67"/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f t="shared" si="68"/>
        <v>0</v>
      </c>
      <c r="O336" t="s">
        <v>454</v>
      </c>
    </row>
    <row r="337" spans="1:15" x14ac:dyDescent="0.25">
      <c r="A337" s="10">
        <v>7</v>
      </c>
      <c r="B337" s="1" t="s">
        <v>274</v>
      </c>
      <c r="C337" s="1" t="s">
        <v>159</v>
      </c>
      <c r="D337" s="37">
        <v>30700</v>
      </c>
      <c r="E337" s="38">
        <v>0</v>
      </c>
      <c r="F337" s="13">
        <f t="shared" si="65"/>
        <v>0</v>
      </c>
      <c r="G337" s="13">
        <v>0</v>
      </c>
      <c r="H337" s="13">
        <f t="shared" si="66"/>
        <v>0</v>
      </c>
      <c r="I337" s="13">
        <f t="shared" si="67"/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f t="shared" si="68"/>
        <v>0</v>
      </c>
      <c r="O337" t="s">
        <v>454</v>
      </c>
    </row>
    <row r="338" spans="1:15" x14ac:dyDescent="0.25">
      <c r="A338" s="11">
        <v>8</v>
      </c>
      <c r="B338" s="1" t="s">
        <v>165</v>
      </c>
      <c r="C338" s="1" t="s">
        <v>160</v>
      </c>
      <c r="D338" s="37">
        <v>30690</v>
      </c>
      <c r="E338" s="38">
        <v>0</v>
      </c>
      <c r="F338" s="13">
        <f t="shared" si="65"/>
        <v>0</v>
      </c>
      <c r="G338" s="13">
        <v>0</v>
      </c>
      <c r="H338" s="13">
        <f t="shared" si="66"/>
        <v>0</v>
      </c>
      <c r="I338" s="13">
        <f t="shared" si="67"/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f t="shared" si="68"/>
        <v>0</v>
      </c>
      <c r="O338" t="s">
        <v>454</v>
      </c>
    </row>
    <row r="339" spans="1:15" x14ac:dyDescent="0.25">
      <c r="A339" s="10">
        <v>9</v>
      </c>
      <c r="B339" s="1" t="s">
        <v>182</v>
      </c>
      <c r="C339" s="1" t="s">
        <v>160</v>
      </c>
      <c r="D339" s="37">
        <v>30690</v>
      </c>
      <c r="E339" s="38">
        <v>0</v>
      </c>
      <c r="F339" s="13">
        <f t="shared" si="65"/>
        <v>0</v>
      </c>
      <c r="G339" s="13">
        <v>0</v>
      </c>
      <c r="H339" s="13">
        <f t="shared" si="66"/>
        <v>0</v>
      </c>
      <c r="I339" s="13">
        <f t="shared" si="67"/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f t="shared" si="68"/>
        <v>0</v>
      </c>
      <c r="O339" t="s">
        <v>454</v>
      </c>
    </row>
    <row r="340" spans="1:15" x14ac:dyDescent="0.25">
      <c r="A340" s="11">
        <v>10</v>
      </c>
      <c r="B340" s="1" t="s">
        <v>139</v>
      </c>
      <c r="C340" s="1" t="s">
        <v>161</v>
      </c>
      <c r="D340" s="37">
        <v>30690</v>
      </c>
      <c r="E340" s="38">
        <v>0</v>
      </c>
      <c r="F340" s="13">
        <f t="shared" si="65"/>
        <v>0</v>
      </c>
      <c r="G340" s="13">
        <v>0</v>
      </c>
      <c r="H340" s="13">
        <f t="shared" si="66"/>
        <v>0</v>
      </c>
      <c r="I340" s="13">
        <f t="shared" si="67"/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f t="shared" si="68"/>
        <v>0</v>
      </c>
      <c r="O340" t="s">
        <v>454</v>
      </c>
    </row>
    <row r="341" spans="1:15" x14ac:dyDescent="0.25">
      <c r="A341" s="10">
        <v>11</v>
      </c>
      <c r="B341" s="1" t="s">
        <v>86</v>
      </c>
      <c r="C341" s="1" t="s">
        <v>161</v>
      </c>
      <c r="D341" s="37">
        <v>30690</v>
      </c>
      <c r="E341" s="38">
        <v>0</v>
      </c>
      <c r="F341" s="13">
        <f t="shared" si="65"/>
        <v>0</v>
      </c>
      <c r="G341" s="13">
        <v>0</v>
      </c>
      <c r="H341" s="13">
        <f t="shared" si="66"/>
        <v>0</v>
      </c>
      <c r="I341" s="13">
        <f t="shared" si="67"/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f t="shared" si="68"/>
        <v>0</v>
      </c>
      <c r="O341" t="s">
        <v>454</v>
      </c>
    </row>
    <row r="342" spans="1:15" x14ac:dyDescent="0.25">
      <c r="A342" s="11">
        <v>12</v>
      </c>
      <c r="B342" s="1" t="s">
        <v>167</v>
      </c>
      <c r="C342" s="1" t="s">
        <v>112</v>
      </c>
      <c r="D342" s="37">
        <v>25000</v>
      </c>
      <c r="E342" s="38">
        <v>0</v>
      </c>
      <c r="F342" s="13">
        <f t="shared" si="65"/>
        <v>0</v>
      </c>
      <c r="G342" s="13">
        <v>0</v>
      </c>
      <c r="H342" s="13">
        <f t="shared" si="66"/>
        <v>0</v>
      </c>
      <c r="I342" s="13">
        <f t="shared" si="67"/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f t="shared" si="68"/>
        <v>0</v>
      </c>
      <c r="O342" t="s">
        <v>454</v>
      </c>
    </row>
    <row r="343" spans="1:15" x14ac:dyDescent="0.25">
      <c r="A343" s="10">
        <v>13</v>
      </c>
      <c r="B343" s="1" t="s">
        <v>331</v>
      </c>
      <c r="C343" s="1" t="s">
        <v>112</v>
      </c>
      <c r="D343" s="37">
        <v>25000</v>
      </c>
      <c r="E343" s="38">
        <v>0</v>
      </c>
      <c r="F343" s="13">
        <f t="shared" si="65"/>
        <v>0</v>
      </c>
      <c r="G343" s="13">
        <v>0</v>
      </c>
      <c r="H343" s="13">
        <f t="shared" si="66"/>
        <v>0</v>
      </c>
      <c r="I343" s="13">
        <f t="shared" si="67"/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f t="shared" si="68"/>
        <v>0</v>
      </c>
      <c r="O343" t="s">
        <v>454</v>
      </c>
    </row>
    <row r="344" spans="1:15" x14ac:dyDescent="0.25">
      <c r="A344" s="11">
        <v>14</v>
      </c>
      <c r="B344" s="1" t="s">
        <v>214</v>
      </c>
      <c r="C344" s="1" t="s">
        <v>112</v>
      </c>
      <c r="D344" s="37">
        <v>25000</v>
      </c>
      <c r="E344" s="38">
        <v>0</v>
      </c>
      <c r="F344" s="13">
        <f t="shared" si="65"/>
        <v>0</v>
      </c>
      <c r="G344" s="13">
        <v>0</v>
      </c>
      <c r="H344" s="13">
        <f t="shared" si="66"/>
        <v>0</v>
      </c>
      <c r="I344" s="13">
        <f t="shared" si="67"/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f t="shared" si="68"/>
        <v>0</v>
      </c>
      <c r="O344" t="s">
        <v>454</v>
      </c>
    </row>
    <row r="345" spans="1:15" ht="15.75" thickBot="1" x14ac:dyDescent="0.3">
      <c r="A345" s="10">
        <v>15</v>
      </c>
      <c r="B345" s="1" t="s">
        <v>85</v>
      </c>
      <c r="C345" s="1" t="s">
        <v>112</v>
      </c>
      <c r="D345" s="37">
        <v>25000</v>
      </c>
      <c r="E345" s="38">
        <v>0</v>
      </c>
      <c r="F345" s="13">
        <f t="shared" si="65"/>
        <v>0</v>
      </c>
      <c r="G345" s="13">
        <v>0</v>
      </c>
      <c r="H345" s="13">
        <f t="shared" si="66"/>
        <v>0</v>
      </c>
      <c r="I345" s="13">
        <f t="shared" si="67"/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f t="shared" si="68"/>
        <v>0</v>
      </c>
      <c r="O345" t="s">
        <v>454</v>
      </c>
    </row>
    <row r="346" spans="1:15" ht="15.75" thickBot="1" x14ac:dyDescent="0.3">
      <c r="A346" s="9"/>
      <c r="B346" s="3" t="s">
        <v>11</v>
      </c>
      <c r="C346" s="3"/>
      <c r="D346" s="39">
        <f>SUM(D331:D345)</f>
        <v>767400</v>
      </c>
      <c r="E346" s="39">
        <f>SUM(E331:E345)</f>
        <v>0</v>
      </c>
      <c r="F346" s="39">
        <f>SUM(F331:F345)</f>
        <v>0</v>
      </c>
      <c r="G346" s="39">
        <f>SUM(G331:G345)</f>
        <v>0</v>
      </c>
      <c r="H346" s="39">
        <f>SUM(H331:H345)</f>
        <v>0</v>
      </c>
      <c r="I346" s="39">
        <f>SUM(I331:I345)</f>
        <v>0</v>
      </c>
      <c r="J346" s="39">
        <f>SUM(J331:J345)</f>
        <v>0</v>
      </c>
      <c r="K346" s="39">
        <f>SUM(K331:K345)</f>
        <v>0</v>
      </c>
      <c r="L346" s="39">
        <f>SUM(L331:L345)</f>
        <v>0</v>
      </c>
      <c r="M346" s="39">
        <f>SUM(M331:M345)</f>
        <v>0</v>
      </c>
      <c r="N346" s="39">
        <f>SUM(N331:N345)</f>
        <v>0</v>
      </c>
    </row>
    <row r="349" spans="1:15" ht="15.75" thickBot="1" x14ac:dyDescent="0.3">
      <c r="C349" s="6" t="s">
        <v>257</v>
      </c>
    </row>
    <row r="350" spans="1:15" ht="15.75" thickBot="1" x14ac:dyDescent="0.3">
      <c r="A350" s="9" t="s">
        <v>0</v>
      </c>
      <c r="B350" s="3" t="s">
        <v>1</v>
      </c>
      <c r="C350" s="3" t="s">
        <v>2</v>
      </c>
      <c r="D350" s="35" t="s">
        <v>3</v>
      </c>
      <c r="E350" s="35" t="s">
        <v>4</v>
      </c>
      <c r="F350" s="35" t="s">
        <v>5</v>
      </c>
      <c r="G350" s="35" t="s">
        <v>6</v>
      </c>
      <c r="H350" s="35" t="s">
        <v>5</v>
      </c>
      <c r="I350" s="35" t="s">
        <v>7</v>
      </c>
      <c r="J350" s="35" t="s">
        <v>8</v>
      </c>
      <c r="K350" s="35" t="s">
        <v>8</v>
      </c>
      <c r="L350" s="35" t="s">
        <v>9</v>
      </c>
      <c r="M350" s="35" t="s">
        <v>467</v>
      </c>
      <c r="N350" s="12" t="s">
        <v>10</v>
      </c>
    </row>
    <row r="351" spans="1:15" x14ac:dyDescent="0.25">
      <c r="A351" s="10">
        <v>1</v>
      </c>
      <c r="B351" s="1" t="s">
        <v>84</v>
      </c>
      <c r="C351" s="2" t="s">
        <v>151</v>
      </c>
      <c r="D351" s="13">
        <v>38500</v>
      </c>
      <c r="E351" s="38">
        <v>0</v>
      </c>
      <c r="F351" s="13">
        <f t="shared" ref="F351:F354" si="69">+D351/31*E351</f>
        <v>0</v>
      </c>
      <c r="G351" s="13">
        <v>0</v>
      </c>
      <c r="H351" s="13">
        <f t="shared" ref="H351:H354" si="70">+D351/248*G351</f>
        <v>0</v>
      </c>
      <c r="I351" s="13">
        <f t="shared" ref="I351:I354" si="71">+F351+H351</f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f t="shared" ref="N351:N354" si="72">+J351-K351-L351-M351</f>
        <v>0</v>
      </c>
      <c r="O351" t="s">
        <v>454</v>
      </c>
    </row>
    <row r="352" spans="1:15" x14ac:dyDescent="0.25">
      <c r="A352" s="11">
        <v>2</v>
      </c>
      <c r="B352" s="1" t="s">
        <v>271</v>
      </c>
      <c r="C352" s="2" t="s">
        <v>151</v>
      </c>
      <c r="D352" s="13">
        <v>35000</v>
      </c>
      <c r="E352" s="38">
        <v>0</v>
      </c>
      <c r="F352" s="13">
        <f t="shared" si="69"/>
        <v>0</v>
      </c>
      <c r="G352" s="13">
        <v>0</v>
      </c>
      <c r="H352" s="13">
        <f t="shared" si="70"/>
        <v>0</v>
      </c>
      <c r="I352" s="13">
        <f t="shared" si="71"/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f t="shared" si="72"/>
        <v>0</v>
      </c>
      <c r="O352" t="s">
        <v>454</v>
      </c>
    </row>
    <row r="353" spans="1:15" x14ac:dyDescent="0.25">
      <c r="A353" s="10">
        <v>3</v>
      </c>
      <c r="B353" s="1" t="s">
        <v>146</v>
      </c>
      <c r="C353" s="1" t="s">
        <v>112</v>
      </c>
      <c r="D353" s="37">
        <v>25000</v>
      </c>
      <c r="E353" s="38">
        <v>0</v>
      </c>
      <c r="F353" s="13">
        <f t="shared" si="69"/>
        <v>0</v>
      </c>
      <c r="G353" s="13">
        <v>0</v>
      </c>
      <c r="H353" s="13">
        <f t="shared" si="70"/>
        <v>0</v>
      </c>
      <c r="I353" s="13">
        <f t="shared" si="71"/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f t="shared" si="72"/>
        <v>0</v>
      </c>
      <c r="O353" t="s">
        <v>454</v>
      </c>
    </row>
    <row r="354" spans="1:15" ht="15.75" thickBot="1" x14ac:dyDescent="0.3">
      <c r="A354" s="10">
        <v>4</v>
      </c>
      <c r="B354" s="1" t="s">
        <v>206</v>
      </c>
      <c r="C354" s="1" t="s">
        <v>112</v>
      </c>
      <c r="D354" s="37">
        <v>25000</v>
      </c>
      <c r="E354" s="38">
        <v>0</v>
      </c>
      <c r="F354" s="13">
        <f t="shared" si="69"/>
        <v>0</v>
      </c>
      <c r="G354" s="13">
        <v>0</v>
      </c>
      <c r="H354" s="13">
        <f t="shared" si="70"/>
        <v>0</v>
      </c>
      <c r="I354" s="13">
        <f t="shared" si="71"/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f t="shared" si="72"/>
        <v>0</v>
      </c>
      <c r="O354" t="s">
        <v>454</v>
      </c>
    </row>
    <row r="355" spans="1:15" ht="15.75" thickBot="1" x14ac:dyDescent="0.3">
      <c r="A355" s="9"/>
      <c r="B355" s="3" t="s">
        <v>11</v>
      </c>
      <c r="C355" s="3"/>
      <c r="D355" s="39">
        <f>SUM(D351:D354)</f>
        <v>123500</v>
      </c>
      <c r="E355" s="39">
        <f t="shared" ref="E355:N355" si="73">SUM(E351:E354)</f>
        <v>0</v>
      </c>
      <c r="F355" s="39">
        <f t="shared" si="73"/>
        <v>0</v>
      </c>
      <c r="G355" s="39">
        <f t="shared" si="73"/>
        <v>0</v>
      </c>
      <c r="H355" s="39">
        <f t="shared" si="73"/>
        <v>0</v>
      </c>
      <c r="I355" s="39">
        <f t="shared" si="73"/>
        <v>0</v>
      </c>
      <c r="J355" s="39">
        <f t="shared" si="73"/>
        <v>0</v>
      </c>
      <c r="K355" s="39">
        <f t="shared" si="73"/>
        <v>0</v>
      </c>
      <c r="L355" s="39">
        <f t="shared" si="73"/>
        <v>0</v>
      </c>
      <c r="M355" s="39">
        <f t="shared" si="73"/>
        <v>0</v>
      </c>
      <c r="N355" s="39">
        <f t="shared" si="73"/>
        <v>0</v>
      </c>
    </row>
    <row r="356" spans="1:15" x14ac:dyDescent="0.25">
      <c r="J356" s="14"/>
    </row>
    <row r="357" spans="1:15" x14ac:dyDescent="0.25">
      <c r="J357" s="14"/>
    </row>
    <row r="358" spans="1:15" x14ac:dyDescent="0.25">
      <c r="J358" s="14"/>
    </row>
    <row r="359" spans="1:15" x14ac:dyDescent="0.25">
      <c r="J359" s="14"/>
    </row>
    <row r="360" spans="1:15" x14ac:dyDescent="0.25">
      <c r="J360" s="14"/>
    </row>
    <row r="361" spans="1:15" x14ac:dyDescent="0.25">
      <c r="J361" s="14"/>
    </row>
    <row r="362" spans="1:15" x14ac:dyDescent="0.25">
      <c r="J362" s="14"/>
    </row>
    <row r="363" spans="1:15" x14ac:dyDescent="0.25">
      <c r="J363" s="14"/>
    </row>
    <row r="364" spans="1:15" ht="15.75" thickBot="1" x14ac:dyDescent="0.3">
      <c r="C364" s="6" t="s">
        <v>170</v>
      </c>
    </row>
    <row r="365" spans="1:15" ht="15.75" thickBot="1" x14ac:dyDescent="0.3">
      <c r="A365" s="9" t="s">
        <v>0</v>
      </c>
      <c r="B365" s="3" t="s">
        <v>1</v>
      </c>
      <c r="C365" s="3" t="s">
        <v>2</v>
      </c>
      <c r="D365" s="35" t="s">
        <v>3</v>
      </c>
      <c r="E365" s="35" t="s">
        <v>4</v>
      </c>
      <c r="F365" s="35" t="s">
        <v>5</v>
      </c>
      <c r="G365" s="35" t="s">
        <v>6</v>
      </c>
      <c r="H365" s="35" t="s">
        <v>5</v>
      </c>
      <c r="I365" s="35" t="s">
        <v>7</v>
      </c>
      <c r="J365" s="35" t="s">
        <v>8</v>
      </c>
      <c r="K365" s="35" t="s">
        <v>8</v>
      </c>
      <c r="L365" s="35" t="s">
        <v>9</v>
      </c>
      <c r="M365" s="35" t="s">
        <v>467</v>
      </c>
      <c r="N365" s="12" t="s">
        <v>10</v>
      </c>
    </row>
    <row r="366" spans="1:15" x14ac:dyDescent="0.25">
      <c r="A366" s="10">
        <v>1</v>
      </c>
      <c r="B366" s="2" t="s">
        <v>173</v>
      </c>
      <c r="C366" s="2" t="s">
        <v>117</v>
      </c>
      <c r="D366" s="13">
        <v>37200</v>
      </c>
      <c r="E366" s="38">
        <v>0</v>
      </c>
      <c r="F366" s="13">
        <f t="shared" ref="F366:F382" si="74">+D366/31*E366</f>
        <v>0</v>
      </c>
      <c r="G366" s="13">
        <v>0</v>
      </c>
      <c r="H366" s="13">
        <f t="shared" ref="H366:H382" si="75">+D366/248*G366</f>
        <v>0</v>
      </c>
      <c r="I366" s="13">
        <f t="shared" ref="I366:I382" si="76">+F366+H366</f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f t="shared" ref="N366:N382" si="77">+J366-K366-L366-M366</f>
        <v>0</v>
      </c>
      <c r="O366" t="s">
        <v>454</v>
      </c>
    </row>
    <row r="367" spans="1:15" x14ac:dyDescent="0.25">
      <c r="A367" s="11">
        <v>2</v>
      </c>
      <c r="B367" s="1" t="s">
        <v>74</v>
      </c>
      <c r="C367" s="2" t="s">
        <v>117</v>
      </c>
      <c r="D367" s="13">
        <v>37200</v>
      </c>
      <c r="E367" s="38">
        <v>0</v>
      </c>
      <c r="F367" s="13">
        <f t="shared" si="74"/>
        <v>0</v>
      </c>
      <c r="G367" s="13">
        <v>0</v>
      </c>
      <c r="H367" s="13">
        <f t="shared" si="75"/>
        <v>0</v>
      </c>
      <c r="I367" s="13">
        <f t="shared" si="76"/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f t="shared" si="77"/>
        <v>0</v>
      </c>
      <c r="O367" t="s">
        <v>454</v>
      </c>
    </row>
    <row r="368" spans="1:15" x14ac:dyDescent="0.25">
      <c r="A368" s="10">
        <v>3</v>
      </c>
      <c r="B368" s="1" t="s">
        <v>174</v>
      </c>
      <c r="C368" s="1" t="s">
        <v>159</v>
      </c>
      <c r="D368" s="37">
        <v>30690</v>
      </c>
      <c r="E368" s="38">
        <v>0</v>
      </c>
      <c r="F368" s="13">
        <f t="shared" si="74"/>
        <v>0</v>
      </c>
      <c r="G368" s="13">
        <v>0</v>
      </c>
      <c r="H368" s="13">
        <f t="shared" si="75"/>
        <v>0</v>
      </c>
      <c r="I368" s="13">
        <f t="shared" si="76"/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f t="shared" si="77"/>
        <v>0</v>
      </c>
      <c r="O368" t="s">
        <v>454</v>
      </c>
    </row>
    <row r="369" spans="1:15" x14ac:dyDescent="0.25">
      <c r="A369" s="11">
        <v>4</v>
      </c>
      <c r="B369" s="1" t="s">
        <v>434</v>
      </c>
      <c r="C369" s="1" t="s">
        <v>159</v>
      </c>
      <c r="D369" s="37">
        <v>30690</v>
      </c>
      <c r="E369" s="38">
        <v>0</v>
      </c>
      <c r="F369" s="13">
        <f t="shared" si="74"/>
        <v>0</v>
      </c>
      <c r="G369" s="13">
        <v>0</v>
      </c>
      <c r="H369" s="13">
        <f t="shared" si="75"/>
        <v>0</v>
      </c>
      <c r="I369" s="13">
        <f t="shared" si="76"/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f t="shared" si="77"/>
        <v>0</v>
      </c>
      <c r="O369" t="s">
        <v>454</v>
      </c>
    </row>
    <row r="370" spans="1:15" x14ac:dyDescent="0.25">
      <c r="A370" s="10">
        <v>5</v>
      </c>
      <c r="B370" s="1" t="s">
        <v>175</v>
      </c>
      <c r="C370" s="1" t="s">
        <v>160</v>
      </c>
      <c r="D370" s="37">
        <v>30690</v>
      </c>
      <c r="E370" s="38">
        <v>0</v>
      </c>
      <c r="F370" s="13">
        <f t="shared" si="74"/>
        <v>0</v>
      </c>
      <c r="G370" s="13">
        <v>0</v>
      </c>
      <c r="H370" s="13">
        <f t="shared" si="75"/>
        <v>0</v>
      </c>
      <c r="I370" s="13">
        <f t="shared" si="76"/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f t="shared" si="77"/>
        <v>0</v>
      </c>
      <c r="O370" t="s">
        <v>454</v>
      </c>
    </row>
    <row r="371" spans="1:15" x14ac:dyDescent="0.25">
      <c r="A371" s="11">
        <v>6</v>
      </c>
      <c r="B371" s="1" t="s">
        <v>177</v>
      </c>
      <c r="C371" s="1" t="s">
        <v>160</v>
      </c>
      <c r="D371" s="37">
        <v>30690</v>
      </c>
      <c r="E371" s="38">
        <v>0</v>
      </c>
      <c r="F371" s="13">
        <f t="shared" si="74"/>
        <v>0</v>
      </c>
      <c r="G371" s="13">
        <v>0</v>
      </c>
      <c r="H371" s="13">
        <f t="shared" si="75"/>
        <v>0</v>
      </c>
      <c r="I371" s="13">
        <f t="shared" si="76"/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f t="shared" si="77"/>
        <v>0</v>
      </c>
      <c r="O371" t="s">
        <v>454</v>
      </c>
    </row>
    <row r="372" spans="1:15" x14ac:dyDescent="0.25">
      <c r="A372" s="10">
        <v>7</v>
      </c>
      <c r="B372" s="1" t="s">
        <v>176</v>
      </c>
      <c r="C372" s="1" t="s">
        <v>160</v>
      </c>
      <c r="D372" s="37">
        <v>30690</v>
      </c>
      <c r="E372" s="38">
        <v>0</v>
      </c>
      <c r="F372" s="13">
        <f t="shared" si="74"/>
        <v>0</v>
      </c>
      <c r="G372" s="13">
        <v>0</v>
      </c>
      <c r="H372" s="13">
        <f t="shared" si="75"/>
        <v>0</v>
      </c>
      <c r="I372" s="13">
        <f t="shared" si="76"/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f t="shared" si="77"/>
        <v>0</v>
      </c>
      <c r="O372" t="s">
        <v>454</v>
      </c>
    </row>
    <row r="373" spans="1:15" x14ac:dyDescent="0.25">
      <c r="A373" s="11">
        <v>8</v>
      </c>
      <c r="B373" s="1" t="s">
        <v>323</v>
      </c>
      <c r="C373" s="1" t="s">
        <v>160</v>
      </c>
      <c r="D373" s="37">
        <v>30690</v>
      </c>
      <c r="E373" s="38">
        <v>0</v>
      </c>
      <c r="F373" s="13">
        <f t="shared" si="74"/>
        <v>0</v>
      </c>
      <c r="G373" s="13">
        <v>0</v>
      </c>
      <c r="H373" s="13">
        <f t="shared" si="75"/>
        <v>0</v>
      </c>
      <c r="I373" s="13">
        <f t="shared" si="76"/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f t="shared" si="77"/>
        <v>0</v>
      </c>
      <c r="O373" t="s">
        <v>454</v>
      </c>
    </row>
    <row r="374" spans="1:15" x14ac:dyDescent="0.25">
      <c r="A374" s="10">
        <v>9</v>
      </c>
      <c r="B374" s="1" t="s">
        <v>281</v>
      </c>
      <c r="C374" s="1" t="s">
        <v>168</v>
      </c>
      <c r="D374" s="37">
        <v>30690</v>
      </c>
      <c r="E374" s="38">
        <v>0</v>
      </c>
      <c r="F374" s="13">
        <f t="shared" si="74"/>
        <v>0</v>
      </c>
      <c r="G374" s="13">
        <v>0</v>
      </c>
      <c r="H374" s="13">
        <f t="shared" si="75"/>
        <v>0</v>
      </c>
      <c r="I374" s="13">
        <f t="shared" si="76"/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f t="shared" si="77"/>
        <v>0</v>
      </c>
      <c r="O374" t="s">
        <v>454</v>
      </c>
    </row>
    <row r="375" spans="1:15" x14ac:dyDescent="0.25">
      <c r="A375" s="11">
        <v>10</v>
      </c>
      <c r="B375" s="1" t="s">
        <v>178</v>
      </c>
      <c r="C375" s="1" t="s">
        <v>112</v>
      </c>
      <c r="D375" s="37">
        <v>25000</v>
      </c>
      <c r="E375" s="38">
        <v>0</v>
      </c>
      <c r="F375" s="13">
        <f t="shared" si="74"/>
        <v>0</v>
      </c>
      <c r="G375" s="13">
        <v>0</v>
      </c>
      <c r="H375" s="13">
        <f t="shared" si="75"/>
        <v>0</v>
      </c>
      <c r="I375" s="13">
        <f t="shared" si="76"/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f t="shared" si="77"/>
        <v>0</v>
      </c>
      <c r="O375" t="s">
        <v>454</v>
      </c>
    </row>
    <row r="376" spans="1:15" x14ac:dyDescent="0.25">
      <c r="A376" s="10">
        <v>11</v>
      </c>
      <c r="B376" s="1" t="s">
        <v>105</v>
      </c>
      <c r="C376" s="1" t="s">
        <v>112</v>
      </c>
      <c r="D376" s="37">
        <v>25000</v>
      </c>
      <c r="E376" s="38">
        <v>0</v>
      </c>
      <c r="F376" s="13">
        <f t="shared" si="74"/>
        <v>0</v>
      </c>
      <c r="G376" s="13">
        <v>0</v>
      </c>
      <c r="H376" s="13">
        <f t="shared" si="75"/>
        <v>0</v>
      </c>
      <c r="I376" s="13">
        <f t="shared" si="76"/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f t="shared" si="77"/>
        <v>0</v>
      </c>
      <c r="O376" t="s">
        <v>454</v>
      </c>
    </row>
    <row r="377" spans="1:15" x14ac:dyDescent="0.25">
      <c r="A377" s="11">
        <v>12</v>
      </c>
      <c r="B377" s="1" t="s">
        <v>329</v>
      </c>
      <c r="C377" s="1" t="s">
        <v>112</v>
      </c>
      <c r="D377" s="37">
        <v>25000</v>
      </c>
      <c r="E377" s="38">
        <v>0</v>
      </c>
      <c r="F377" s="13">
        <f t="shared" si="74"/>
        <v>0</v>
      </c>
      <c r="G377" s="13">
        <v>0</v>
      </c>
      <c r="H377" s="13">
        <f t="shared" si="75"/>
        <v>0</v>
      </c>
      <c r="I377" s="13">
        <f t="shared" si="76"/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f t="shared" si="77"/>
        <v>0</v>
      </c>
      <c r="O377" t="s">
        <v>454</v>
      </c>
    </row>
    <row r="378" spans="1:15" x14ac:dyDescent="0.25">
      <c r="A378" s="10">
        <v>13</v>
      </c>
      <c r="B378" s="1" t="s">
        <v>435</v>
      </c>
      <c r="C378" s="1" t="s">
        <v>112</v>
      </c>
      <c r="D378" s="37">
        <v>25000</v>
      </c>
      <c r="E378" s="38">
        <v>0</v>
      </c>
      <c r="F378" s="13">
        <f t="shared" si="74"/>
        <v>0</v>
      </c>
      <c r="G378" s="13">
        <v>0</v>
      </c>
      <c r="H378" s="13">
        <f t="shared" si="75"/>
        <v>0</v>
      </c>
      <c r="I378" s="13">
        <f t="shared" si="76"/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f t="shared" si="77"/>
        <v>0</v>
      </c>
      <c r="O378" t="s">
        <v>454</v>
      </c>
    </row>
    <row r="379" spans="1:15" x14ac:dyDescent="0.25">
      <c r="A379" s="11">
        <v>14</v>
      </c>
      <c r="B379" s="1" t="s">
        <v>329</v>
      </c>
      <c r="C379" s="1" t="s">
        <v>112</v>
      </c>
      <c r="D379" s="37">
        <v>25000</v>
      </c>
      <c r="E379" s="38">
        <v>0</v>
      </c>
      <c r="F379" s="13">
        <f t="shared" si="74"/>
        <v>0</v>
      </c>
      <c r="G379" s="13">
        <v>0</v>
      </c>
      <c r="H379" s="13">
        <f t="shared" si="75"/>
        <v>0</v>
      </c>
      <c r="I379" s="13">
        <f t="shared" si="76"/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f t="shared" si="77"/>
        <v>0</v>
      </c>
      <c r="O379" t="s">
        <v>454</v>
      </c>
    </row>
    <row r="380" spans="1:15" x14ac:dyDescent="0.25">
      <c r="A380" s="10">
        <v>15</v>
      </c>
      <c r="B380" s="1" t="s">
        <v>179</v>
      </c>
      <c r="C380" s="1" t="s">
        <v>151</v>
      </c>
      <c r="D380" s="37">
        <v>30280</v>
      </c>
      <c r="E380" s="38">
        <v>0</v>
      </c>
      <c r="F380" s="13">
        <f t="shared" si="74"/>
        <v>0</v>
      </c>
      <c r="G380" s="13">
        <v>0</v>
      </c>
      <c r="H380" s="13">
        <f t="shared" si="75"/>
        <v>0</v>
      </c>
      <c r="I380" s="13">
        <f t="shared" si="76"/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f t="shared" si="77"/>
        <v>0</v>
      </c>
      <c r="O380" t="s">
        <v>454</v>
      </c>
    </row>
    <row r="381" spans="1:15" x14ac:dyDescent="0.25">
      <c r="A381" s="11">
        <v>16</v>
      </c>
      <c r="B381" s="1" t="s">
        <v>330</v>
      </c>
      <c r="C381" s="1" t="s">
        <v>172</v>
      </c>
      <c r="D381" s="37">
        <v>25000</v>
      </c>
      <c r="E381" s="38">
        <v>0</v>
      </c>
      <c r="F381" s="13">
        <f t="shared" si="74"/>
        <v>0</v>
      </c>
      <c r="G381" s="13">
        <v>0</v>
      </c>
      <c r="H381" s="13">
        <f t="shared" si="75"/>
        <v>0</v>
      </c>
      <c r="I381" s="13">
        <f t="shared" si="76"/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f t="shared" si="77"/>
        <v>0</v>
      </c>
      <c r="O381" t="s">
        <v>454</v>
      </c>
    </row>
    <row r="382" spans="1:15" ht="15.75" thickBot="1" x14ac:dyDescent="0.3">
      <c r="A382" s="10">
        <v>17</v>
      </c>
      <c r="B382" s="1" t="s">
        <v>418</v>
      </c>
      <c r="C382" s="1" t="s">
        <v>172</v>
      </c>
      <c r="D382" s="37">
        <v>25000</v>
      </c>
      <c r="E382" s="38">
        <v>0</v>
      </c>
      <c r="F382" s="13">
        <f t="shared" si="74"/>
        <v>0</v>
      </c>
      <c r="G382" s="13">
        <v>0</v>
      </c>
      <c r="H382" s="13">
        <f t="shared" si="75"/>
        <v>0</v>
      </c>
      <c r="I382" s="13">
        <f t="shared" si="76"/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f t="shared" si="77"/>
        <v>0</v>
      </c>
      <c r="O382" t="s">
        <v>454</v>
      </c>
    </row>
    <row r="383" spans="1:15" ht="15.75" thickBot="1" x14ac:dyDescent="0.3">
      <c r="A383" s="9"/>
      <c r="B383" s="3" t="s">
        <v>11</v>
      </c>
      <c r="C383" s="3"/>
      <c r="D383" s="39">
        <f>SUM(D366:D382)</f>
        <v>494510</v>
      </c>
      <c r="E383" s="39">
        <f>SUM(E366:E382)</f>
        <v>0</v>
      </c>
      <c r="F383" s="39">
        <f>SUM(F366:F382)</f>
        <v>0</v>
      </c>
      <c r="G383" s="39">
        <f>SUM(G366:G382)</f>
        <v>0</v>
      </c>
      <c r="H383" s="39">
        <f>SUM(H366:H382)</f>
        <v>0</v>
      </c>
      <c r="I383" s="39">
        <f>SUM(I366:I382)</f>
        <v>0</v>
      </c>
      <c r="J383" s="39">
        <f>SUM(J366:J382)</f>
        <v>0</v>
      </c>
      <c r="K383" s="39">
        <f>SUM(K366:K382)</f>
        <v>0</v>
      </c>
      <c r="L383" s="39">
        <f>SUM(L366:L382)</f>
        <v>0</v>
      </c>
      <c r="M383" s="39">
        <f>SUM(M366:M382)</f>
        <v>0</v>
      </c>
      <c r="N383" s="39">
        <f>SUM(N366:N382)</f>
        <v>0</v>
      </c>
    </row>
    <row r="386" spans="1:3" x14ac:dyDescent="0.25">
      <c r="A386"/>
    </row>
    <row r="387" spans="1:3" x14ac:dyDescent="0.25">
      <c r="A387"/>
    </row>
    <row r="388" spans="1:3" x14ac:dyDescent="0.25">
      <c r="A388"/>
    </row>
    <row r="389" spans="1:3" x14ac:dyDescent="0.25">
      <c r="A389"/>
    </row>
    <row r="390" spans="1:3" x14ac:dyDescent="0.25">
      <c r="A390"/>
    </row>
    <row r="391" spans="1:3" x14ac:dyDescent="0.25">
      <c r="A391"/>
    </row>
    <row r="392" spans="1:3" x14ac:dyDescent="0.25">
      <c r="A392"/>
    </row>
    <row r="393" spans="1:3" x14ac:dyDescent="0.25">
      <c r="A393"/>
    </row>
    <row r="394" spans="1:3" x14ac:dyDescent="0.25">
      <c r="A394"/>
    </row>
    <row r="400" spans="1:3" ht="15.75" thickBot="1" x14ac:dyDescent="0.3">
      <c r="C400" s="6" t="s">
        <v>171</v>
      </c>
    </row>
    <row r="401" spans="1:15" ht="15.75" thickBot="1" x14ac:dyDescent="0.3">
      <c r="A401" s="9" t="s">
        <v>0</v>
      </c>
      <c r="B401" s="3" t="s">
        <v>1</v>
      </c>
      <c r="C401" s="3" t="s">
        <v>2</v>
      </c>
      <c r="D401" s="35" t="s">
        <v>3</v>
      </c>
      <c r="E401" s="35" t="s">
        <v>4</v>
      </c>
      <c r="F401" s="35" t="s">
        <v>5</v>
      </c>
      <c r="G401" s="35" t="s">
        <v>6</v>
      </c>
      <c r="H401" s="35" t="s">
        <v>5</v>
      </c>
      <c r="I401" s="35" t="s">
        <v>7</v>
      </c>
      <c r="J401" s="35" t="s">
        <v>8</v>
      </c>
      <c r="K401" s="35" t="s">
        <v>8</v>
      </c>
      <c r="L401" s="35" t="s">
        <v>9</v>
      </c>
      <c r="M401" s="35" t="s">
        <v>467</v>
      </c>
      <c r="N401" s="12" t="s">
        <v>10</v>
      </c>
    </row>
    <row r="402" spans="1:15" x14ac:dyDescent="0.25">
      <c r="A402" s="10">
        <v>1</v>
      </c>
      <c r="B402" s="2" t="s">
        <v>180</v>
      </c>
      <c r="C402" s="2" t="s">
        <v>117</v>
      </c>
      <c r="D402" s="13">
        <v>40590</v>
      </c>
      <c r="E402" s="38">
        <v>0</v>
      </c>
      <c r="F402" s="13">
        <f t="shared" ref="F402:F420" si="78">+D402/31*E402</f>
        <v>0</v>
      </c>
      <c r="G402" s="13">
        <v>0</v>
      </c>
      <c r="H402" s="13">
        <f t="shared" ref="H402:H420" si="79">+D402/248*G402</f>
        <v>0</v>
      </c>
      <c r="I402" s="13">
        <f t="shared" ref="I402:I420" si="80">+F402+H402</f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f t="shared" ref="N402:N420" si="81">+J402-K402-L402-M402</f>
        <v>0</v>
      </c>
      <c r="O402" t="s">
        <v>454</v>
      </c>
    </row>
    <row r="403" spans="1:15" x14ac:dyDescent="0.25">
      <c r="A403" s="11">
        <v>2</v>
      </c>
      <c r="B403" s="1" t="s">
        <v>181</v>
      </c>
      <c r="C403" s="2" t="s">
        <v>117</v>
      </c>
      <c r="D403" s="13">
        <v>36900</v>
      </c>
      <c r="E403" s="38">
        <v>0</v>
      </c>
      <c r="F403" s="13">
        <f t="shared" si="78"/>
        <v>0</v>
      </c>
      <c r="G403" s="13">
        <v>0</v>
      </c>
      <c r="H403" s="13">
        <f t="shared" si="79"/>
        <v>0</v>
      </c>
      <c r="I403" s="13">
        <f t="shared" si="80"/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f t="shared" si="81"/>
        <v>0</v>
      </c>
      <c r="O403" t="s">
        <v>454</v>
      </c>
    </row>
    <row r="404" spans="1:15" x14ac:dyDescent="0.25">
      <c r="A404" s="10">
        <v>3</v>
      </c>
      <c r="B404" s="1" t="s">
        <v>67</v>
      </c>
      <c r="C404" s="1" t="s">
        <v>159</v>
      </c>
      <c r="D404" s="37">
        <v>33480</v>
      </c>
      <c r="E404" s="38">
        <v>0</v>
      </c>
      <c r="F404" s="13">
        <f t="shared" si="78"/>
        <v>0</v>
      </c>
      <c r="G404" s="13">
        <v>0</v>
      </c>
      <c r="H404" s="13">
        <f t="shared" si="79"/>
        <v>0</v>
      </c>
      <c r="I404" s="13">
        <f t="shared" si="80"/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f t="shared" si="81"/>
        <v>0</v>
      </c>
      <c r="O404" t="s">
        <v>454</v>
      </c>
    </row>
    <row r="405" spans="1:15" x14ac:dyDescent="0.25">
      <c r="A405" s="11">
        <v>4</v>
      </c>
      <c r="B405" s="1" t="s">
        <v>436</v>
      </c>
      <c r="C405" s="1" t="s">
        <v>159</v>
      </c>
      <c r="D405" s="37">
        <v>30400</v>
      </c>
      <c r="E405" s="38">
        <v>0</v>
      </c>
      <c r="F405" s="13">
        <f t="shared" si="78"/>
        <v>0</v>
      </c>
      <c r="G405" s="13">
        <v>0</v>
      </c>
      <c r="H405" s="13">
        <f t="shared" si="79"/>
        <v>0</v>
      </c>
      <c r="I405" s="13">
        <f t="shared" si="80"/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f t="shared" si="81"/>
        <v>0</v>
      </c>
      <c r="O405" t="s">
        <v>454</v>
      </c>
    </row>
    <row r="406" spans="1:15" x14ac:dyDescent="0.25">
      <c r="A406" s="10">
        <v>5</v>
      </c>
      <c r="B406" s="1" t="s">
        <v>320</v>
      </c>
      <c r="C406" s="1" t="s">
        <v>160</v>
      </c>
      <c r="D406" s="37">
        <v>30400</v>
      </c>
      <c r="E406" s="38">
        <v>0</v>
      </c>
      <c r="F406" s="13">
        <f t="shared" si="78"/>
        <v>0</v>
      </c>
      <c r="G406" s="13">
        <v>0</v>
      </c>
      <c r="H406" s="13">
        <f t="shared" si="79"/>
        <v>0</v>
      </c>
      <c r="I406" s="13">
        <f t="shared" si="80"/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f t="shared" si="81"/>
        <v>0</v>
      </c>
      <c r="O406" t="s">
        <v>454</v>
      </c>
    </row>
    <row r="407" spans="1:15" x14ac:dyDescent="0.25">
      <c r="A407" s="11">
        <v>6</v>
      </c>
      <c r="B407" s="1" t="s">
        <v>105</v>
      </c>
      <c r="C407" s="1" t="s">
        <v>160</v>
      </c>
      <c r="D407" s="37">
        <v>30400</v>
      </c>
      <c r="E407" s="38">
        <v>0</v>
      </c>
      <c r="F407" s="13">
        <f t="shared" si="78"/>
        <v>0</v>
      </c>
      <c r="G407" s="13">
        <v>0</v>
      </c>
      <c r="H407" s="13">
        <f t="shared" si="79"/>
        <v>0</v>
      </c>
      <c r="I407" s="13">
        <f t="shared" si="80"/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f t="shared" si="81"/>
        <v>0</v>
      </c>
      <c r="O407" t="s">
        <v>454</v>
      </c>
    </row>
    <row r="408" spans="1:15" x14ac:dyDescent="0.25">
      <c r="A408" s="10">
        <v>7</v>
      </c>
      <c r="B408" s="1" t="s">
        <v>393</v>
      </c>
      <c r="C408" s="1" t="s">
        <v>160</v>
      </c>
      <c r="D408" s="37">
        <v>30400</v>
      </c>
      <c r="E408" s="38">
        <v>0</v>
      </c>
      <c r="F408" s="13">
        <f t="shared" si="78"/>
        <v>0</v>
      </c>
      <c r="G408" s="13">
        <v>0</v>
      </c>
      <c r="H408" s="13">
        <f t="shared" si="79"/>
        <v>0</v>
      </c>
      <c r="I408" s="13">
        <f t="shared" si="80"/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f t="shared" si="81"/>
        <v>0</v>
      </c>
      <c r="O408" t="s">
        <v>454</v>
      </c>
    </row>
    <row r="409" spans="1:15" x14ac:dyDescent="0.25">
      <c r="A409" s="11">
        <v>8</v>
      </c>
      <c r="B409" s="1" t="s">
        <v>313</v>
      </c>
      <c r="C409" s="1" t="s">
        <v>168</v>
      </c>
      <c r="D409" s="37">
        <v>33000</v>
      </c>
      <c r="E409" s="38">
        <v>0</v>
      </c>
      <c r="F409" s="13">
        <f t="shared" si="78"/>
        <v>0</v>
      </c>
      <c r="G409" s="13">
        <v>0</v>
      </c>
      <c r="H409" s="13">
        <f t="shared" si="79"/>
        <v>0</v>
      </c>
      <c r="I409" s="13">
        <f t="shared" si="80"/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f t="shared" si="81"/>
        <v>0</v>
      </c>
      <c r="O409" t="s">
        <v>454</v>
      </c>
    </row>
    <row r="410" spans="1:15" x14ac:dyDescent="0.25">
      <c r="A410" s="10">
        <v>9</v>
      </c>
      <c r="B410" s="1" t="s">
        <v>394</v>
      </c>
      <c r="C410" s="1" t="s">
        <v>168</v>
      </c>
      <c r="D410" s="37">
        <v>33000</v>
      </c>
      <c r="E410" s="38">
        <v>0</v>
      </c>
      <c r="F410" s="13">
        <f t="shared" si="78"/>
        <v>0</v>
      </c>
      <c r="G410" s="13">
        <v>0</v>
      </c>
      <c r="H410" s="13">
        <f t="shared" si="79"/>
        <v>0</v>
      </c>
      <c r="I410" s="13">
        <f t="shared" si="80"/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f t="shared" si="81"/>
        <v>0</v>
      </c>
      <c r="O410" t="s">
        <v>454</v>
      </c>
    </row>
    <row r="411" spans="1:15" x14ac:dyDescent="0.25">
      <c r="A411" s="11">
        <v>10</v>
      </c>
      <c r="B411" s="1" t="s">
        <v>83</v>
      </c>
      <c r="C411" s="1" t="s">
        <v>112</v>
      </c>
      <c r="D411" s="37">
        <v>27000</v>
      </c>
      <c r="E411" s="38">
        <v>0</v>
      </c>
      <c r="F411" s="13">
        <f t="shared" si="78"/>
        <v>0</v>
      </c>
      <c r="G411" s="13">
        <v>0</v>
      </c>
      <c r="H411" s="13">
        <f t="shared" si="79"/>
        <v>0</v>
      </c>
      <c r="I411" s="13">
        <f t="shared" si="80"/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f t="shared" si="81"/>
        <v>0</v>
      </c>
      <c r="O411" t="s">
        <v>454</v>
      </c>
    </row>
    <row r="412" spans="1:15" x14ac:dyDescent="0.25">
      <c r="A412" s="10">
        <v>11</v>
      </c>
      <c r="B412" s="1" t="s">
        <v>301</v>
      </c>
      <c r="C412" s="1" t="s">
        <v>112</v>
      </c>
      <c r="D412" s="37">
        <v>27000</v>
      </c>
      <c r="E412" s="38">
        <v>0</v>
      </c>
      <c r="F412" s="13">
        <f t="shared" si="78"/>
        <v>0</v>
      </c>
      <c r="G412" s="13">
        <v>0</v>
      </c>
      <c r="H412" s="13">
        <f t="shared" si="79"/>
        <v>0</v>
      </c>
      <c r="I412" s="13">
        <f t="shared" si="80"/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f t="shared" si="81"/>
        <v>0</v>
      </c>
      <c r="O412" t="s">
        <v>454</v>
      </c>
    </row>
    <row r="413" spans="1:15" x14ac:dyDescent="0.25">
      <c r="A413" s="11">
        <v>12</v>
      </c>
      <c r="B413" s="1" t="s">
        <v>360</v>
      </c>
      <c r="C413" s="1" t="s">
        <v>112</v>
      </c>
      <c r="D413" s="37">
        <v>27000</v>
      </c>
      <c r="E413" s="38">
        <v>0</v>
      </c>
      <c r="F413" s="13">
        <f t="shared" si="78"/>
        <v>0</v>
      </c>
      <c r="G413" s="13">
        <v>0</v>
      </c>
      <c r="H413" s="13">
        <f t="shared" si="79"/>
        <v>0</v>
      </c>
      <c r="I413" s="13">
        <f t="shared" si="80"/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f t="shared" si="81"/>
        <v>0</v>
      </c>
      <c r="O413" t="s">
        <v>454</v>
      </c>
    </row>
    <row r="414" spans="1:15" x14ac:dyDescent="0.25">
      <c r="A414" s="10">
        <v>13</v>
      </c>
      <c r="B414" s="1" t="s">
        <v>68</v>
      </c>
      <c r="C414" s="1" t="s">
        <v>112</v>
      </c>
      <c r="D414" s="37">
        <v>27000</v>
      </c>
      <c r="E414" s="38">
        <v>0</v>
      </c>
      <c r="F414" s="13">
        <f t="shared" si="78"/>
        <v>0</v>
      </c>
      <c r="G414" s="13">
        <v>0</v>
      </c>
      <c r="H414" s="13">
        <f t="shared" si="79"/>
        <v>0</v>
      </c>
      <c r="I414" s="13">
        <f t="shared" si="80"/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f t="shared" si="81"/>
        <v>0</v>
      </c>
      <c r="O414" t="s">
        <v>454</v>
      </c>
    </row>
    <row r="415" spans="1:15" x14ac:dyDescent="0.25">
      <c r="A415" s="11">
        <v>14</v>
      </c>
      <c r="B415" s="1" t="s">
        <v>420</v>
      </c>
      <c r="C415" s="1" t="s">
        <v>112</v>
      </c>
      <c r="D415" s="37">
        <v>27000</v>
      </c>
      <c r="E415" s="38">
        <v>0</v>
      </c>
      <c r="F415" s="13">
        <f t="shared" si="78"/>
        <v>0</v>
      </c>
      <c r="G415" s="13">
        <v>0</v>
      </c>
      <c r="H415" s="13">
        <f t="shared" si="79"/>
        <v>0</v>
      </c>
      <c r="I415" s="13">
        <f t="shared" si="80"/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f t="shared" si="81"/>
        <v>0</v>
      </c>
      <c r="O415" t="s">
        <v>454</v>
      </c>
    </row>
    <row r="416" spans="1:15" x14ac:dyDescent="0.25">
      <c r="A416" s="10">
        <v>15</v>
      </c>
      <c r="B416" s="1" t="s">
        <v>419</v>
      </c>
      <c r="C416" s="1" t="s">
        <v>112</v>
      </c>
      <c r="D416" s="37">
        <v>27000</v>
      </c>
      <c r="E416" s="38">
        <v>0</v>
      </c>
      <c r="F416" s="13">
        <f t="shared" si="78"/>
        <v>0</v>
      </c>
      <c r="G416" s="13">
        <v>0</v>
      </c>
      <c r="H416" s="13">
        <f t="shared" si="79"/>
        <v>0</v>
      </c>
      <c r="I416" s="13">
        <f t="shared" si="80"/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f t="shared" si="81"/>
        <v>0</v>
      </c>
      <c r="O416" t="s">
        <v>454</v>
      </c>
    </row>
    <row r="417" spans="1:15" x14ac:dyDescent="0.25">
      <c r="A417" s="11">
        <v>16</v>
      </c>
      <c r="B417" s="1" t="s">
        <v>421</v>
      </c>
      <c r="C417" s="1" t="s">
        <v>112</v>
      </c>
      <c r="D417" s="37">
        <v>27000</v>
      </c>
      <c r="E417" s="38">
        <v>0</v>
      </c>
      <c r="F417" s="13">
        <f t="shared" si="78"/>
        <v>0</v>
      </c>
      <c r="G417" s="13">
        <v>0</v>
      </c>
      <c r="H417" s="13">
        <f t="shared" si="79"/>
        <v>0</v>
      </c>
      <c r="I417" s="13">
        <f t="shared" si="80"/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f t="shared" si="81"/>
        <v>0</v>
      </c>
      <c r="O417" t="s">
        <v>454</v>
      </c>
    </row>
    <row r="418" spans="1:15" x14ac:dyDescent="0.25">
      <c r="A418" s="10">
        <v>17</v>
      </c>
      <c r="B418" s="1" t="s">
        <v>437</v>
      </c>
      <c r="C418" s="1" t="s">
        <v>112</v>
      </c>
      <c r="D418" s="37">
        <v>27000</v>
      </c>
      <c r="E418" s="38">
        <v>0</v>
      </c>
      <c r="F418" s="13">
        <f t="shared" si="78"/>
        <v>0</v>
      </c>
      <c r="G418" s="13">
        <v>0</v>
      </c>
      <c r="H418" s="13">
        <f t="shared" si="79"/>
        <v>0</v>
      </c>
      <c r="I418" s="13">
        <f t="shared" si="80"/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f t="shared" si="81"/>
        <v>0</v>
      </c>
      <c r="O418" t="s">
        <v>454</v>
      </c>
    </row>
    <row r="419" spans="1:15" x14ac:dyDescent="0.25">
      <c r="A419" s="11">
        <v>18</v>
      </c>
      <c r="B419" s="1" t="s">
        <v>176</v>
      </c>
      <c r="C419" s="1" t="s">
        <v>151</v>
      </c>
      <c r="D419" s="37">
        <v>39860</v>
      </c>
      <c r="E419" s="38">
        <v>0</v>
      </c>
      <c r="F419" s="13">
        <f t="shared" si="78"/>
        <v>0</v>
      </c>
      <c r="G419" s="13">
        <v>0</v>
      </c>
      <c r="H419" s="13">
        <f t="shared" si="79"/>
        <v>0</v>
      </c>
      <c r="I419" s="13">
        <f t="shared" si="80"/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f t="shared" si="81"/>
        <v>0</v>
      </c>
      <c r="O419" t="s">
        <v>454</v>
      </c>
    </row>
    <row r="420" spans="1:15" ht="15.75" thickBot="1" x14ac:dyDescent="0.3">
      <c r="A420" s="10">
        <v>19</v>
      </c>
      <c r="B420" s="1" t="s">
        <v>115</v>
      </c>
      <c r="C420" s="1" t="s">
        <v>151</v>
      </c>
      <c r="D420" s="37">
        <v>39860</v>
      </c>
      <c r="E420" s="38">
        <v>0</v>
      </c>
      <c r="F420" s="13">
        <f t="shared" si="78"/>
        <v>0</v>
      </c>
      <c r="G420" s="13">
        <v>0</v>
      </c>
      <c r="H420" s="13">
        <f t="shared" si="79"/>
        <v>0</v>
      </c>
      <c r="I420" s="13">
        <f t="shared" si="80"/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f t="shared" si="81"/>
        <v>0</v>
      </c>
      <c r="O420" t="s">
        <v>454</v>
      </c>
    </row>
    <row r="421" spans="1:15" ht="15.75" thickBot="1" x14ac:dyDescent="0.3">
      <c r="A421" s="9"/>
      <c r="B421" s="3" t="s">
        <v>11</v>
      </c>
      <c r="C421" s="3"/>
      <c r="D421" s="39">
        <f>SUM(D402:D420)</f>
        <v>594290</v>
      </c>
      <c r="E421" s="39">
        <f>SUM(E402:E420)</f>
        <v>0</v>
      </c>
      <c r="F421" s="39">
        <f>SUM(F402:F420)</f>
        <v>0</v>
      </c>
      <c r="G421" s="39">
        <f>SUM(G402:G420)</f>
        <v>0</v>
      </c>
      <c r="H421" s="39">
        <f>SUM(H402:H420)</f>
        <v>0</v>
      </c>
      <c r="I421" s="39">
        <f>SUM(I402:I420)</f>
        <v>0</v>
      </c>
      <c r="J421" s="39">
        <f>SUM(J402:J420)</f>
        <v>0</v>
      </c>
      <c r="K421" s="39">
        <f>SUM(K402:K420)</f>
        <v>0</v>
      </c>
      <c r="L421" s="39">
        <f>SUM(L402:L420)</f>
        <v>0</v>
      </c>
      <c r="M421" s="39">
        <f>SUM(M402:M420)</f>
        <v>0</v>
      </c>
      <c r="N421" s="39">
        <f>SUM(N402:N420)</f>
        <v>0</v>
      </c>
    </row>
    <row r="422" spans="1:15" x14ac:dyDescent="0.25">
      <c r="A422"/>
      <c r="M422" s="49">
        <f>+N421+N383+N355+N346</f>
        <v>0</v>
      </c>
      <c r="N422" s="49"/>
    </row>
    <row r="436" spans="1:15" ht="15.75" thickBot="1" x14ac:dyDescent="0.3">
      <c r="C436" s="6" t="s">
        <v>185</v>
      </c>
    </row>
    <row r="437" spans="1:15" ht="15.75" thickBot="1" x14ac:dyDescent="0.3">
      <c r="A437" s="9" t="s">
        <v>0</v>
      </c>
      <c r="B437" s="3" t="s">
        <v>1</v>
      </c>
      <c r="C437" s="3" t="s">
        <v>2</v>
      </c>
      <c r="D437" s="35" t="s">
        <v>3</v>
      </c>
      <c r="E437" s="35" t="s">
        <v>4</v>
      </c>
      <c r="F437" s="35" t="s">
        <v>5</v>
      </c>
      <c r="G437" s="35" t="s">
        <v>6</v>
      </c>
      <c r="H437" s="35" t="s">
        <v>5</v>
      </c>
      <c r="I437" s="35" t="s">
        <v>7</v>
      </c>
      <c r="J437" s="35" t="s">
        <v>8</v>
      </c>
      <c r="K437" s="35" t="s">
        <v>8</v>
      </c>
      <c r="L437" s="35" t="s">
        <v>9</v>
      </c>
      <c r="M437" s="35" t="s">
        <v>467</v>
      </c>
      <c r="N437" s="12" t="s">
        <v>10</v>
      </c>
    </row>
    <row r="438" spans="1:15" x14ac:dyDescent="0.25">
      <c r="A438" s="10">
        <v>1</v>
      </c>
      <c r="B438" s="44" t="s">
        <v>186</v>
      </c>
      <c r="C438" s="2" t="s">
        <v>184</v>
      </c>
      <c r="D438" s="13">
        <v>78650</v>
      </c>
      <c r="E438" s="38">
        <v>0</v>
      </c>
      <c r="F438" s="13">
        <f t="shared" ref="F438:F454" si="82">+D438/31*E438</f>
        <v>0</v>
      </c>
      <c r="G438" s="13">
        <v>0</v>
      </c>
      <c r="H438" s="13">
        <f t="shared" ref="H438:H454" si="83">+D438/248*G438</f>
        <v>0</v>
      </c>
      <c r="I438" s="13">
        <f t="shared" ref="I438:I454" si="84">+F438+H438</f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f t="shared" ref="N438:N454" si="85">+J438-K438-L438-M438</f>
        <v>0</v>
      </c>
      <c r="O438" t="s">
        <v>460</v>
      </c>
    </row>
    <row r="439" spans="1:15" x14ac:dyDescent="0.25">
      <c r="A439" s="10">
        <v>2</v>
      </c>
      <c r="B439" s="45" t="s">
        <v>188</v>
      </c>
      <c r="C439" s="2" t="s">
        <v>117</v>
      </c>
      <c r="D439" s="13">
        <v>42350</v>
      </c>
      <c r="E439" s="38">
        <v>0</v>
      </c>
      <c r="F439" s="13">
        <f t="shared" si="82"/>
        <v>0</v>
      </c>
      <c r="G439" s="13">
        <v>0</v>
      </c>
      <c r="H439" s="13">
        <f t="shared" si="83"/>
        <v>0</v>
      </c>
      <c r="I439" s="13">
        <f t="shared" si="84"/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f t="shared" si="85"/>
        <v>0</v>
      </c>
      <c r="O439" t="s">
        <v>454</v>
      </c>
    </row>
    <row r="440" spans="1:15" x14ac:dyDescent="0.25">
      <c r="A440" s="10">
        <v>3</v>
      </c>
      <c r="B440" s="45" t="s">
        <v>187</v>
      </c>
      <c r="C440" s="2" t="s">
        <v>117</v>
      </c>
      <c r="D440" s="37">
        <v>37200</v>
      </c>
      <c r="E440" s="38">
        <v>0</v>
      </c>
      <c r="F440" s="13">
        <f t="shared" si="82"/>
        <v>0</v>
      </c>
      <c r="G440" s="13">
        <v>0</v>
      </c>
      <c r="H440" s="13">
        <f t="shared" si="83"/>
        <v>0</v>
      </c>
      <c r="I440" s="13">
        <f t="shared" si="84"/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f t="shared" si="85"/>
        <v>0</v>
      </c>
      <c r="O440" t="s">
        <v>454</v>
      </c>
    </row>
    <row r="441" spans="1:15" x14ac:dyDescent="0.25">
      <c r="A441" s="10">
        <v>4</v>
      </c>
      <c r="B441" s="45" t="s">
        <v>189</v>
      </c>
      <c r="C441" s="2" t="s">
        <v>117</v>
      </c>
      <c r="D441" s="37">
        <v>37200</v>
      </c>
      <c r="E441" s="38">
        <v>0</v>
      </c>
      <c r="F441" s="13">
        <f t="shared" si="82"/>
        <v>0</v>
      </c>
      <c r="G441" s="13">
        <v>0</v>
      </c>
      <c r="H441" s="13">
        <f t="shared" si="83"/>
        <v>0</v>
      </c>
      <c r="I441" s="13">
        <f t="shared" si="84"/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f t="shared" si="85"/>
        <v>0</v>
      </c>
      <c r="O441" t="s">
        <v>454</v>
      </c>
    </row>
    <row r="442" spans="1:15" x14ac:dyDescent="0.25">
      <c r="A442" s="10">
        <v>5</v>
      </c>
      <c r="B442" s="45" t="s">
        <v>190</v>
      </c>
      <c r="C442" s="2" t="s">
        <v>117</v>
      </c>
      <c r="D442" s="37">
        <v>37200</v>
      </c>
      <c r="E442" s="38">
        <v>0</v>
      </c>
      <c r="F442" s="13">
        <f t="shared" si="82"/>
        <v>0</v>
      </c>
      <c r="G442" s="13">
        <v>0</v>
      </c>
      <c r="H442" s="13">
        <f t="shared" si="83"/>
        <v>0</v>
      </c>
      <c r="I442" s="13">
        <f t="shared" si="84"/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f t="shared" si="85"/>
        <v>0</v>
      </c>
      <c r="O442" t="s">
        <v>454</v>
      </c>
    </row>
    <row r="443" spans="1:15" x14ac:dyDescent="0.25">
      <c r="A443" s="10">
        <v>6</v>
      </c>
      <c r="B443" s="1" t="s">
        <v>389</v>
      </c>
      <c r="C443" s="1" t="s">
        <v>114</v>
      </c>
      <c r="D443" s="37">
        <v>26125</v>
      </c>
      <c r="E443" s="38">
        <v>0</v>
      </c>
      <c r="F443" s="13">
        <f t="shared" si="82"/>
        <v>0</v>
      </c>
      <c r="G443" s="13">
        <v>0</v>
      </c>
      <c r="H443" s="13">
        <f t="shared" si="83"/>
        <v>0</v>
      </c>
      <c r="I443" s="13">
        <f t="shared" si="84"/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f t="shared" si="85"/>
        <v>0</v>
      </c>
      <c r="O443" t="s">
        <v>454</v>
      </c>
    </row>
    <row r="444" spans="1:15" x14ac:dyDescent="0.25">
      <c r="A444" s="10">
        <v>7</v>
      </c>
      <c r="B444" s="1" t="s">
        <v>347</v>
      </c>
      <c r="C444" s="1" t="s">
        <v>114</v>
      </c>
      <c r="D444" s="37">
        <v>26125</v>
      </c>
      <c r="E444" s="38">
        <v>0</v>
      </c>
      <c r="F444" s="13">
        <f t="shared" si="82"/>
        <v>0</v>
      </c>
      <c r="G444" s="13">
        <v>0</v>
      </c>
      <c r="H444" s="13">
        <f t="shared" si="83"/>
        <v>0</v>
      </c>
      <c r="I444" s="13">
        <f t="shared" si="84"/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f t="shared" si="85"/>
        <v>0</v>
      </c>
      <c r="O444" t="s">
        <v>454</v>
      </c>
    </row>
    <row r="445" spans="1:15" x14ac:dyDescent="0.25">
      <c r="A445" s="10">
        <v>8</v>
      </c>
      <c r="B445" s="1" t="s">
        <v>191</v>
      </c>
      <c r="C445" s="1" t="s">
        <v>378</v>
      </c>
      <c r="D445" s="37">
        <v>26125</v>
      </c>
      <c r="E445" s="38">
        <v>0</v>
      </c>
      <c r="F445" s="13">
        <f t="shared" si="82"/>
        <v>0</v>
      </c>
      <c r="G445" s="13">
        <v>0</v>
      </c>
      <c r="H445" s="13">
        <f t="shared" si="83"/>
        <v>0</v>
      </c>
      <c r="I445" s="13">
        <f t="shared" si="84"/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f t="shared" si="85"/>
        <v>0</v>
      </c>
      <c r="O445" t="s">
        <v>454</v>
      </c>
    </row>
    <row r="446" spans="1:15" x14ac:dyDescent="0.25">
      <c r="A446" s="10">
        <v>9</v>
      </c>
      <c r="B446" s="1" t="s">
        <v>346</v>
      </c>
      <c r="C446" s="1" t="s">
        <v>112</v>
      </c>
      <c r="D446" s="37">
        <v>25000</v>
      </c>
      <c r="E446" s="38">
        <v>0</v>
      </c>
      <c r="F446" s="13">
        <f t="shared" si="82"/>
        <v>0</v>
      </c>
      <c r="G446" s="13">
        <v>0</v>
      </c>
      <c r="H446" s="13">
        <f t="shared" si="83"/>
        <v>0</v>
      </c>
      <c r="I446" s="13">
        <f t="shared" si="84"/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f t="shared" si="85"/>
        <v>0</v>
      </c>
      <c r="O446" t="s">
        <v>454</v>
      </c>
    </row>
    <row r="447" spans="1:15" x14ac:dyDescent="0.25">
      <c r="A447" s="10">
        <v>10</v>
      </c>
      <c r="B447" s="1" t="s">
        <v>144</v>
      </c>
      <c r="C447" s="1" t="s">
        <v>112</v>
      </c>
      <c r="D447" s="37">
        <v>25000</v>
      </c>
      <c r="E447" s="38">
        <v>0</v>
      </c>
      <c r="F447" s="13">
        <f t="shared" si="82"/>
        <v>0</v>
      </c>
      <c r="G447" s="13">
        <v>0</v>
      </c>
      <c r="H447" s="13">
        <f t="shared" si="83"/>
        <v>0</v>
      </c>
      <c r="I447" s="13">
        <f t="shared" si="84"/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f t="shared" si="85"/>
        <v>0</v>
      </c>
      <c r="O447" t="s">
        <v>454</v>
      </c>
    </row>
    <row r="448" spans="1:15" x14ac:dyDescent="0.25">
      <c r="A448" s="10">
        <v>11</v>
      </c>
      <c r="B448" s="1" t="s">
        <v>395</v>
      </c>
      <c r="C448" s="1" t="s">
        <v>112</v>
      </c>
      <c r="D448" s="37">
        <v>25000</v>
      </c>
      <c r="E448" s="38">
        <v>0</v>
      </c>
      <c r="F448" s="13">
        <f t="shared" si="82"/>
        <v>0</v>
      </c>
      <c r="G448" s="13">
        <v>0</v>
      </c>
      <c r="H448" s="13">
        <f t="shared" si="83"/>
        <v>0</v>
      </c>
      <c r="I448" s="13">
        <f t="shared" si="84"/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f t="shared" si="85"/>
        <v>0</v>
      </c>
      <c r="O448" t="s">
        <v>454</v>
      </c>
    </row>
    <row r="449" spans="1:15" x14ac:dyDescent="0.25">
      <c r="A449" s="10">
        <v>12</v>
      </c>
      <c r="B449" s="1" t="s">
        <v>328</v>
      </c>
      <c r="C449" s="1" t="s">
        <v>112</v>
      </c>
      <c r="D449" s="37">
        <v>25000</v>
      </c>
      <c r="E449" s="38">
        <v>0</v>
      </c>
      <c r="F449" s="13">
        <f t="shared" si="82"/>
        <v>0</v>
      </c>
      <c r="G449" s="13">
        <v>0</v>
      </c>
      <c r="H449" s="13">
        <f t="shared" si="83"/>
        <v>0</v>
      </c>
      <c r="I449" s="13">
        <f t="shared" si="84"/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f t="shared" si="85"/>
        <v>0</v>
      </c>
      <c r="O449" t="s">
        <v>454</v>
      </c>
    </row>
    <row r="450" spans="1:15" x14ac:dyDescent="0.25">
      <c r="A450" s="10">
        <v>13</v>
      </c>
      <c r="B450" s="1" t="s">
        <v>139</v>
      </c>
      <c r="C450" s="1" t="s">
        <v>112</v>
      </c>
      <c r="D450" s="37">
        <v>25000</v>
      </c>
      <c r="E450" s="38">
        <v>0</v>
      </c>
      <c r="F450" s="13">
        <f t="shared" si="82"/>
        <v>0</v>
      </c>
      <c r="G450" s="13">
        <v>0</v>
      </c>
      <c r="H450" s="13">
        <f t="shared" si="83"/>
        <v>0</v>
      </c>
      <c r="I450" s="13">
        <f t="shared" si="84"/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f t="shared" si="85"/>
        <v>0</v>
      </c>
      <c r="O450" t="s">
        <v>454</v>
      </c>
    </row>
    <row r="451" spans="1:15" x14ac:dyDescent="0.25">
      <c r="A451" s="10">
        <v>14</v>
      </c>
      <c r="B451" s="1" t="s">
        <v>177</v>
      </c>
      <c r="C451" s="1" t="s">
        <v>112</v>
      </c>
      <c r="D451" s="37">
        <v>25000</v>
      </c>
      <c r="E451" s="38">
        <v>0</v>
      </c>
      <c r="F451" s="13">
        <f t="shared" si="82"/>
        <v>0</v>
      </c>
      <c r="G451" s="13">
        <v>0</v>
      </c>
      <c r="H451" s="13">
        <f t="shared" si="83"/>
        <v>0</v>
      </c>
      <c r="I451" s="13">
        <f t="shared" si="84"/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f t="shared" si="85"/>
        <v>0</v>
      </c>
      <c r="O451" t="s">
        <v>454</v>
      </c>
    </row>
    <row r="452" spans="1:15" x14ac:dyDescent="0.25">
      <c r="A452" s="10">
        <v>15</v>
      </c>
      <c r="B452" s="1" t="s">
        <v>438</v>
      </c>
      <c r="C452" s="1" t="s">
        <v>112</v>
      </c>
      <c r="D452" s="37">
        <v>25000</v>
      </c>
      <c r="E452" s="38">
        <v>0</v>
      </c>
      <c r="F452" s="13">
        <f t="shared" si="82"/>
        <v>0</v>
      </c>
      <c r="G452" s="13">
        <v>0</v>
      </c>
      <c r="H452" s="13">
        <f t="shared" si="83"/>
        <v>0</v>
      </c>
      <c r="I452" s="13">
        <f t="shared" si="84"/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f t="shared" si="85"/>
        <v>0</v>
      </c>
      <c r="O452" t="s">
        <v>454</v>
      </c>
    </row>
    <row r="453" spans="1:15" x14ac:dyDescent="0.25">
      <c r="A453" s="10">
        <v>16</v>
      </c>
      <c r="B453" s="1" t="s">
        <v>439</v>
      </c>
      <c r="C453" s="1" t="s">
        <v>112</v>
      </c>
      <c r="D453" s="37">
        <v>25000</v>
      </c>
      <c r="E453" s="38">
        <v>0</v>
      </c>
      <c r="F453" s="13">
        <f t="shared" si="82"/>
        <v>0</v>
      </c>
      <c r="G453" s="13">
        <v>0</v>
      </c>
      <c r="H453" s="13">
        <f t="shared" si="83"/>
        <v>0</v>
      </c>
      <c r="I453" s="13">
        <f t="shared" si="84"/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f t="shared" si="85"/>
        <v>0</v>
      </c>
      <c r="O453" t="s">
        <v>454</v>
      </c>
    </row>
    <row r="454" spans="1:15" ht="15.75" thickBot="1" x14ac:dyDescent="0.3">
      <c r="A454" s="10">
        <v>17</v>
      </c>
      <c r="B454" s="1" t="s">
        <v>440</v>
      </c>
      <c r="C454" s="1" t="s">
        <v>112</v>
      </c>
      <c r="D454" s="37">
        <v>25000</v>
      </c>
      <c r="E454" s="38">
        <v>0</v>
      </c>
      <c r="F454" s="13">
        <f t="shared" si="82"/>
        <v>0</v>
      </c>
      <c r="G454" s="13">
        <v>0</v>
      </c>
      <c r="H454" s="13">
        <f t="shared" si="83"/>
        <v>0</v>
      </c>
      <c r="I454" s="13">
        <f t="shared" si="84"/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f t="shared" si="85"/>
        <v>0</v>
      </c>
      <c r="O454" t="s">
        <v>454</v>
      </c>
    </row>
    <row r="455" spans="1:15" ht="15.75" thickBot="1" x14ac:dyDescent="0.3">
      <c r="A455" s="9"/>
      <c r="B455" s="3" t="s">
        <v>11</v>
      </c>
      <c r="C455" s="3"/>
      <c r="D455" s="39">
        <f>SUM(D438:D454)</f>
        <v>535975</v>
      </c>
      <c r="E455" s="39">
        <f>SUM(E438:E454)</f>
        <v>0</v>
      </c>
      <c r="F455" s="39">
        <f>SUM(F438:F454)</f>
        <v>0</v>
      </c>
      <c r="G455" s="39">
        <f>SUM(G438:G454)</f>
        <v>0</v>
      </c>
      <c r="H455" s="39">
        <f>SUM(H438:H454)</f>
        <v>0</v>
      </c>
      <c r="I455" s="39">
        <f>SUM(I438:I454)</f>
        <v>0</v>
      </c>
      <c r="J455" s="39">
        <f>SUM(J438:J454)</f>
        <v>0</v>
      </c>
      <c r="K455" s="39">
        <f>SUM(K438:K454)</f>
        <v>0</v>
      </c>
      <c r="L455" s="39">
        <f>SUM(L438:L454)</f>
        <v>0</v>
      </c>
      <c r="M455" s="39">
        <f>SUM(M438:M454)</f>
        <v>0</v>
      </c>
      <c r="N455" s="39">
        <f>SUM(N438:N454)</f>
        <v>0</v>
      </c>
    </row>
    <row r="470" spans="1:18" ht="15.75" thickBot="1" x14ac:dyDescent="0.3">
      <c r="C470" s="6" t="s">
        <v>192</v>
      </c>
    </row>
    <row r="471" spans="1:18" ht="15.75" thickBot="1" x14ac:dyDescent="0.3">
      <c r="A471" s="9" t="s">
        <v>0</v>
      </c>
      <c r="B471" s="3" t="s">
        <v>1</v>
      </c>
      <c r="C471" s="3" t="s">
        <v>2</v>
      </c>
      <c r="D471" s="35" t="s">
        <v>3</v>
      </c>
      <c r="E471" s="35" t="s">
        <v>4</v>
      </c>
      <c r="F471" s="35" t="s">
        <v>5</v>
      </c>
      <c r="G471" s="35" t="s">
        <v>6</v>
      </c>
      <c r="H471" s="35" t="s">
        <v>5</v>
      </c>
      <c r="I471" s="35" t="s">
        <v>7</v>
      </c>
      <c r="J471" s="35" t="s">
        <v>8</v>
      </c>
      <c r="K471" s="35" t="s">
        <v>8</v>
      </c>
      <c r="L471" s="35" t="s">
        <v>9</v>
      </c>
      <c r="M471" s="35" t="s">
        <v>467</v>
      </c>
      <c r="N471" s="12" t="s">
        <v>10</v>
      </c>
    </row>
    <row r="472" spans="1:18" x14ac:dyDescent="0.25">
      <c r="A472" s="10">
        <v>1</v>
      </c>
      <c r="B472" s="2" t="s">
        <v>193</v>
      </c>
      <c r="C472" s="2" t="s">
        <v>184</v>
      </c>
      <c r="D472" s="13">
        <v>52810</v>
      </c>
      <c r="E472" s="38">
        <v>0</v>
      </c>
      <c r="F472" s="13">
        <f t="shared" ref="F472:F489" si="86">+D472/31*E472</f>
        <v>0</v>
      </c>
      <c r="G472" s="13">
        <v>0</v>
      </c>
      <c r="H472" s="13">
        <f t="shared" ref="H472:H489" si="87">+D472/248*G472</f>
        <v>0</v>
      </c>
      <c r="I472" s="13">
        <f t="shared" ref="I472:I489" si="88">+F472+H472</f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f t="shared" ref="N472:N489" si="89">+J472-K472-L472-M472</f>
        <v>0</v>
      </c>
      <c r="O472" t="s">
        <v>454</v>
      </c>
      <c r="Q472" s="7"/>
      <c r="R472" s="7"/>
    </row>
    <row r="473" spans="1:18" x14ac:dyDescent="0.25">
      <c r="A473" s="11">
        <v>2</v>
      </c>
      <c r="B473" s="1" t="s">
        <v>194</v>
      </c>
      <c r="C473" s="2" t="s">
        <v>117</v>
      </c>
      <c r="D473" s="13">
        <v>46760</v>
      </c>
      <c r="E473" s="38">
        <v>0</v>
      </c>
      <c r="F473" s="13">
        <f t="shared" si="86"/>
        <v>0</v>
      </c>
      <c r="G473" s="13">
        <v>0</v>
      </c>
      <c r="H473" s="13">
        <f t="shared" si="87"/>
        <v>0</v>
      </c>
      <c r="I473" s="13">
        <f t="shared" si="88"/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f t="shared" si="89"/>
        <v>0</v>
      </c>
      <c r="O473" t="s">
        <v>454</v>
      </c>
      <c r="Q473" s="7"/>
    </row>
    <row r="474" spans="1:18" x14ac:dyDescent="0.25">
      <c r="A474" s="10">
        <v>3</v>
      </c>
      <c r="B474" s="1" t="s">
        <v>111</v>
      </c>
      <c r="C474" s="2" t="s">
        <v>117</v>
      </c>
      <c r="D474" s="37">
        <v>42460</v>
      </c>
      <c r="E474" s="38">
        <v>0</v>
      </c>
      <c r="F474" s="13">
        <f t="shared" si="86"/>
        <v>0</v>
      </c>
      <c r="G474" s="13">
        <v>0</v>
      </c>
      <c r="H474" s="13">
        <f t="shared" si="87"/>
        <v>0</v>
      </c>
      <c r="I474" s="13">
        <f t="shared" si="88"/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f t="shared" si="89"/>
        <v>0</v>
      </c>
      <c r="O474" t="s">
        <v>454</v>
      </c>
    </row>
    <row r="475" spans="1:18" x14ac:dyDescent="0.25">
      <c r="A475" s="11">
        <v>4</v>
      </c>
      <c r="B475" s="1" t="s">
        <v>124</v>
      </c>
      <c r="C475" s="2" t="s">
        <v>117</v>
      </c>
      <c r="D475" s="37">
        <v>38600</v>
      </c>
      <c r="E475" s="38">
        <v>0</v>
      </c>
      <c r="F475" s="13">
        <f t="shared" si="86"/>
        <v>0</v>
      </c>
      <c r="G475" s="13">
        <v>0</v>
      </c>
      <c r="H475" s="13">
        <f t="shared" si="87"/>
        <v>0</v>
      </c>
      <c r="I475" s="13">
        <f t="shared" si="88"/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f t="shared" si="89"/>
        <v>0</v>
      </c>
      <c r="O475" t="s">
        <v>454</v>
      </c>
    </row>
    <row r="476" spans="1:18" x14ac:dyDescent="0.25">
      <c r="A476" s="10">
        <v>5</v>
      </c>
      <c r="B476" s="1" t="s">
        <v>41</v>
      </c>
      <c r="C476" s="1" t="s">
        <v>160</v>
      </c>
      <c r="D476" s="37">
        <v>26800</v>
      </c>
      <c r="E476" s="38">
        <v>0</v>
      </c>
      <c r="F476" s="13">
        <f t="shared" si="86"/>
        <v>0</v>
      </c>
      <c r="G476" s="13">
        <v>0</v>
      </c>
      <c r="H476" s="13">
        <f t="shared" si="87"/>
        <v>0</v>
      </c>
      <c r="I476" s="13">
        <f t="shared" si="88"/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f t="shared" si="89"/>
        <v>0</v>
      </c>
      <c r="O476" t="s">
        <v>454</v>
      </c>
    </row>
    <row r="477" spans="1:18" x14ac:dyDescent="0.25">
      <c r="A477" s="11">
        <v>6</v>
      </c>
      <c r="B477" s="1" t="s">
        <v>332</v>
      </c>
      <c r="C477" s="1" t="s">
        <v>160</v>
      </c>
      <c r="D477" s="37">
        <v>26800</v>
      </c>
      <c r="E477" s="38">
        <v>0</v>
      </c>
      <c r="F477" s="13">
        <f t="shared" si="86"/>
        <v>0</v>
      </c>
      <c r="G477" s="13">
        <v>0</v>
      </c>
      <c r="H477" s="13">
        <f t="shared" si="87"/>
        <v>0</v>
      </c>
      <c r="I477" s="13">
        <f t="shared" si="88"/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f t="shared" si="89"/>
        <v>0</v>
      </c>
      <c r="O477" t="s">
        <v>454</v>
      </c>
    </row>
    <row r="478" spans="1:18" x14ac:dyDescent="0.25">
      <c r="A478" s="10">
        <v>7</v>
      </c>
      <c r="B478" s="1" t="s">
        <v>197</v>
      </c>
      <c r="C478" s="1" t="s">
        <v>160</v>
      </c>
      <c r="D478" s="37">
        <v>26800</v>
      </c>
      <c r="E478" s="38">
        <v>0</v>
      </c>
      <c r="F478" s="13">
        <f t="shared" si="86"/>
        <v>0</v>
      </c>
      <c r="G478" s="13">
        <v>0</v>
      </c>
      <c r="H478" s="13">
        <f t="shared" si="87"/>
        <v>0</v>
      </c>
      <c r="I478" s="13">
        <f t="shared" si="88"/>
        <v>0</v>
      </c>
      <c r="J478" s="13">
        <v>0</v>
      </c>
      <c r="K478" s="13">
        <v>0</v>
      </c>
      <c r="L478" s="13">
        <v>0</v>
      </c>
      <c r="M478" s="13">
        <v>0</v>
      </c>
      <c r="N478" s="13">
        <f t="shared" si="89"/>
        <v>0</v>
      </c>
      <c r="O478" t="s">
        <v>454</v>
      </c>
    </row>
    <row r="479" spans="1:18" x14ac:dyDescent="0.25">
      <c r="A479" s="11">
        <v>8</v>
      </c>
      <c r="B479" s="1" t="s">
        <v>110</v>
      </c>
      <c r="C479" s="1" t="s">
        <v>160</v>
      </c>
      <c r="D479" s="37">
        <v>26800</v>
      </c>
      <c r="E479" s="38">
        <v>0</v>
      </c>
      <c r="F479" s="13">
        <f t="shared" si="86"/>
        <v>0</v>
      </c>
      <c r="G479" s="13">
        <v>0</v>
      </c>
      <c r="H479" s="13">
        <f t="shared" si="87"/>
        <v>0</v>
      </c>
      <c r="I479" s="13">
        <f t="shared" si="88"/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f t="shared" si="89"/>
        <v>0</v>
      </c>
      <c r="O479" t="s">
        <v>454</v>
      </c>
    </row>
    <row r="480" spans="1:18" x14ac:dyDescent="0.25">
      <c r="A480" s="10">
        <v>9</v>
      </c>
      <c r="B480" s="1" t="s">
        <v>195</v>
      </c>
      <c r="C480" s="1" t="s">
        <v>168</v>
      </c>
      <c r="D480" s="37">
        <v>26800</v>
      </c>
      <c r="E480" s="38">
        <v>0</v>
      </c>
      <c r="F480" s="13">
        <f t="shared" si="86"/>
        <v>0</v>
      </c>
      <c r="G480" s="13">
        <v>0</v>
      </c>
      <c r="H480" s="13">
        <f t="shared" si="87"/>
        <v>0</v>
      </c>
      <c r="I480" s="13">
        <f t="shared" si="88"/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f t="shared" si="89"/>
        <v>0</v>
      </c>
      <c r="O480" t="s">
        <v>454</v>
      </c>
    </row>
    <row r="481" spans="1:15" x14ac:dyDescent="0.25">
      <c r="A481" s="11">
        <v>10</v>
      </c>
      <c r="B481" s="1" t="s">
        <v>116</v>
      </c>
      <c r="C481" s="1" t="s">
        <v>168</v>
      </c>
      <c r="D481" s="37">
        <v>29480</v>
      </c>
      <c r="E481" s="38">
        <v>0</v>
      </c>
      <c r="F481" s="13">
        <f t="shared" si="86"/>
        <v>0</v>
      </c>
      <c r="G481" s="13">
        <v>0</v>
      </c>
      <c r="H481" s="13">
        <f t="shared" si="87"/>
        <v>0</v>
      </c>
      <c r="I481" s="13">
        <f t="shared" si="88"/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f t="shared" si="89"/>
        <v>0</v>
      </c>
      <c r="O481" t="s">
        <v>454</v>
      </c>
    </row>
    <row r="482" spans="1:15" x14ac:dyDescent="0.25">
      <c r="A482" s="10">
        <v>11</v>
      </c>
      <c r="B482" s="1" t="s">
        <v>196</v>
      </c>
      <c r="C482" s="1" t="s">
        <v>168</v>
      </c>
      <c r="D482" s="37">
        <v>26800</v>
      </c>
      <c r="E482" s="38">
        <v>0</v>
      </c>
      <c r="F482" s="13">
        <f t="shared" si="86"/>
        <v>0</v>
      </c>
      <c r="G482" s="13">
        <v>0</v>
      </c>
      <c r="H482" s="13">
        <f t="shared" si="87"/>
        <v>0</v>
      </c>
      <c r="I482" s="13">
        <f t="shared" si="88"/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f t="shared" si="89"/>
        <v>0</v>
      </c>
      <c r="O482" t="s">
        <v>454</v>
      </c>
    </row>
    <row r="483" spans="1:15" x14ac:dyDescent="0.25">
      <c r="A483" s="11">
        <v>12</v>
      </c>
      <c r="B483" s="1" t="s">
        <v>183</v>
      </c>
      <c r="C483" s="1" t="s">
        <v>112</v>
      </c>
      <c r="D483" s="37">
        <v>25000</v>
      </c>
      <c r="E483" s="38">
        <v>0</v>
      </c>
      <c r="F483" s="13">
        <f t="shared" si="86"/>
        <v>0</v>
      </c>
      <c r="G483" s="13">
        <v>0</v>
      </c>
      <c r="H483" s="13">
        <f t="shared" si="87"/>
        <v>0</v>
      </c>
      <c r="I483" s="13">
        <f t="shared" si="88"/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f t="shared" si="89"/>
        <v>0</v>
      </c>
      <c r="O483" t="s">
        <v>454</v>
      </c>
    </row>
    <row r="484" spans="1:15" x14ac:dyDescent="0.25">
      <c r="A484" s="10">
        <v>13</v>
      </c>
      <c r="B484" s="1" t="s">
        <v>253</v>
      </c>
      <c r="C484" s="1" t="s">
        <v>112</v>
      </c>
      <c r="D484" s="37">
        <v>25000</v>
      </c>
      <c r="E484" s="38">
        <v>0</v>
      </c>
      <c r="F484" s="13">
        <f t="shared" si="86"/>
        <v>0</v>
      </c>
      <c r="G484" s="13">
        <v>0</v>
      </c>
      <c r="H484" s="13">
        <f t="shared" si="87"/>
        <v>0</v>
      </c>
      <c r="I484" s="13">
        <f t="shared" si="88"/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f t="shared" si="89"/>
        <v>0</v>
      </c>
      <c r="O484" t="s">
        <v>454</v>
      </c>
    </row>
    <row r="485" spans="1:15" x14ac:dyDescent="0.25">
      <c r="A485" s="11">
        <v>14</v>
      </c>
      <c r="B485" s="1" t="s">
        <v>169</v>
      </c>
      <c r="C485" s="1" t="s">
        <v>112</v>
      </c>
      <c r="D485" s="37">
        <v>25000</v>
      </c>
      <c r="E485" s="38">
        <v>0</v>
      </c>
      <c r="F485" s="13">
        <f t="shared" si="86"/>
        <v>0</v>
      </c>
      <c r="G485" s="13">
        <v>0</v>
      </c>
      <c r="H485" s="13">
        <f t="shared" si="87"/>
        <v>0</v>
      </c>
      <c r="I485" s="13">
        <f t="shared" si="88"/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f t="shared" si="89"/>
        <v>0</v>
      </c>
      <c r="O485" t="s">
        <v>454</v>
      </c>
    </row>
    <row r="486" spans="1:15" x14ac:dyDescent="0.25">
      <c r="A486" s="10">
        <v>15</v>
      </c>
      <c r="B486" s="1" t="s">
        <v>249</v>
      </c>
      <c r="C486" s="1" t="s">
        <v>112</v>
      </c>
      <c r="D486" s="37">
        <v>25000</v>
      </c>
      <c r="E486" s="38">
        <v>0</v>
      </c>
      <c r="F486" s="13">
        <f t="shared" si="86"/>
        <v>0</v>
      </c>
      <c r="G486" s="13">
        <v>0</v>
      </c>
      <c r="H486" s="13">
        <f t="shared" si="87"/>
        <v>0</v>
      </c>
      <c r="I486" s="13">
        <f t="shared" si="88"/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f t="shared" si="89"/>
        <v>0</v>
      </c>
      <c r="O486" t="s">
        <v>454</v>
      </c>
    </row>
    <row r="487" spans="1:15" x14ac:dyDescent="0.25">
      <c r="A487" s="11">
        <v>16</v>
      </c>
      <c r="B487" s="1" t="s">
        <v>379</v>
      </c>
      <c r="C487" s="1" t="s">
        <v>112</v>
      </c>
      <c r="D487" s="37">
        <v>25000</v>
      </c>
      <c r="E487" s="38">
        <v>0</v>
      </c>
      <c r="F487" s="13">
        <f t="shared" si="86"/>
        <v>0</v>
      </c>
      <c r="G487" s="13">
        <v>0</v>
      </c>
      <c r="H487" s="13">
        <f t="shared" si="87"/>
        <v>0</v>
      </c>
      <c r="I487" s="13">
        <f t="shared" si="88"/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f t="shared" si="89"/>
        <v>0</v>
      </c>
      <c r="O487" t="s">
        <v>454</v>
      </c>
    </row>
    <row r="488" spans="1:15" x14ac:dyDescent="0.25">
      <c r="A488" s="10">
        <v>17</v>
      </c>
      <c r="B488" s="1" t="s">
        <v>43</v>
      </c>
      <c r="C488" s="1" t="s">
        <v>112</v>
      </c>
      <c r="D488" s="37">
        <v>25000</v>
      </c>
      <c r="E488" s="38">
        <v>0</v>
      </c>
      <c r="F488" s="13">
        <f t="shared" si="86"/>
        <v>0</v>
      </c>
      <c r="G488" s="13">
        <v>0</v>
      </c>
      <c r="H488" s="13">
        <f t="shared" si="87"/>
        <v>0</v>
      </c>
      <c r="I488" s="13">
        <f t="shared" si="88"/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f t="shared" si="89"/>
        <v>0</v>
      </c>
      <c r="O488" t="s">
        <v>454</v>
      </c>
    </row>
    <row r="489" spans="1:15" ht="15.75" thickBot="1" x14ac:dyDescent="0.3">
      <c r="A489" s="11">
        <v>18</v>
      </c>
      <c r="B489" s="1" t="s">
        <v>231</v>
      </c>
      <c r="C489" s="1" t="s">
        <v>112</v>
      </c>
      <c r="D489" s="37">
        <v>25000</v>
      </c>
      <c r="E489" s="38">
        <v>0</v>
      </c>
      <c r="F489" s="13">
        <f t="shared" si="86"/>
        <v>0</v>
      </c>
      <c r="G489" s="13">
        <v>0</v>
      </c>
      <c r="H489" s="13">
        <f t="shared" si="87"/>
        <v>0</v>
      </c>
      <c r="I489" s="13">
        <f t="shared" si="88"/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f t="shared" si="89"/>
        <v>0</v>
      </c>
      <c r="O489" t="s">
        <v>454</v>
      </c>
    </row>
    <row r="490" spans="1:15" ht="15.75" thickBot="1" x14ac:dyDescent="0.3">
      <c r="A490" s="9"/>
      <c r="B490" s="3" t="s">
        <v>11</v>
      </c>
      <c r="C490" s="3"/>
      <c r="D490" s="39">
        <f>SUM(D472:D489)</f>
        <v>545910</v>
      </c>
      <c r="E490" s="39">
        <f t="shared" ref="E490:N490" si="90">SUM(E472:E489)</f>
        <v>0</v>
      </c>
      <c r="F490" s="39">
        <f t="shared" si="90"/>
        <v>0</v>
      </c>
      <c r="G490" s="39">
        <f t="shared" si="90"/>
        <v>0</v>
      </c>
      <c r="H490" s="39">
        <f t="shared" si="90"/>
        <v>0</v>
      </c>
      <c r="I490" s="39">
        <f t="shared" si="90"/>
        <v>0</v>
      </c>
      <c r="J490" s="39">
        <f t="shared" si="90"/>
        <v>0</v>
      </c>
      <c r="K490" s="39">
        <f t="shared" si="90"/>
        <v>0</v>
      </c>
      <c r="L490" s="39">
        <f t="shared" si="90"/>
        <v>0</v>
      </c>
      <c r="M490" s="39">
        <f t="shared" si="90"/>
        <v>0</v>
      </c>
      <c r="N490" s="39">
        <f t="shared" si="90"/>
        <v>0</v>
      </c>
    </row>
    <row r="491" spans="1:15" ht="15.75" thickBot="1" x14ac:dyDescent="0.3">
      <c r="C491" s="6" t="s">
        <v>264</v>
      </c>
    </row>
    <row r="492" spans="1:15" ht="15.75" thickBot="1" x14ac:dyDescent="0.3">
      <c r="A492" s="9" t="s">
        <v>0</v>
      </c>
      <c r="B492" s="3" t="s">
        <v>1</v>
      </c>
      <c r="C492" s="3" t="s">
        <v>2</v>
      </c>
      <c r="D492" s="35" t="s">
        <v>3</v>
      </c>
      <c r="E492" s="35" t="s">
        <v>4</v>
      </c>
      <c r="F492" s="35" t="s">
        <v>5</v>
      </c>
      <c r="G492" s="35" t="s">
        <v>6</v>
      </c>
      <c r="H492" s="35" t="s">
        <v>5</v>
      </c>
      <c r="I492" s="35" t="s">
        <v>7</v>
      </c>
      <c r="J492" s="35" t="s">
        <v>8</v>
      </c>
      <c r="K492" s="35" t="s">
        <v>8</v>
      </c>
      <c r="L492" s="35" t="s">
        <v>9</v>
      </c>
      <c r="M492" s="35" t="s">
        <v>467</v>
      </c>
      <c r="N492" s="12" t="s">
        <v>10</v>
      </c>
    </row>
    <row r="493" spans="1:15" x14ac:dyDescent="0.25">
      <c r="A493" s="10">
        <v>1</v>
      </c>
      <c r="B493" s="2" t="s">
        <v>198</v>
      </c>
      <c r="C493" s="2" t="s">
        <v>117</v>
      </c>
      <c r="D493" s="13">
        <v>46750</v>
      </c>
      <c r="E493" s="38">
        <v>0</v>
      </c>
      <c r="F493" s="13">
        <f t="shared" ref="F493:F502" si="91">+D493/31*E493</f>
        <v>0</v>
      </c>
      <c r="G493" s="13">
        <v>0</v>
      </c>
      <c r="H493" s="13">
        <f t="shared" ref="H493:H502" si="92">+D493/248*G493</f>
        <v>0</v>
      </c>
      <c r="I493" s="13">
        <f t="shared" ref="I493:I502" si="93">+F493+H493</f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f t="shared" ref="N493:N502" si="94">+J493-K493-L493-M493</f>
        <v>0</v>
      </c>
      <c r="O493" t="s">
        <v>454</v>
      </c>
    </row>
    <row r="494" spans="1:15" x14ac:dyDescent="0.25">
      <c r="A494" s="11">
        <v>2</v>
      </c>
      <c r="B494" s="1" t="s">
        <v>201</v>
      </c>
      <c r="C494" s="2" t="s">
        <v>117</v>
      </c>
      <c r="D494" s="13">
        <v>42500</v>
      </c>
      <c r="E494" s="38">
        <v>0</v>
      </c>
      <c r="F494" s="13">
        <f t="shared" si="91"/>
        <v>0</v>
      </c>
      <c r="G494" s="13">
        <v>0</v>
      </c>
      <c r="H494" s="13">
        <f t="shared" si="92"/>
        <v>0</v>
      </c>
      <c r="I494" s="13">
        <f t="shared" si="93"/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f t="shared" si="94"/>
        <v>0</v>
      </c>
      <c r="O494" t="s">
        <v>454</v>
      </c>
    </row>
    <row r="495" spans="1:15" x14ac:dyDescent="0.25">
      <c r="A495" s="10">
        <v>3</v>
      </c>
      <c r="B495" s="1" t="s">
        <v>200</v>
      </c>
      <c r="C495" s="1" t="s">
        <v>130</v>
      </c>
      <c r="D495" s="37">
        <v>31460</v>
      </c>
      <c r="E495" s="38">
        <v>0</v>
      </c>
      <c r="F495" s="13">
        <f t="shared" si="91"/>
        <v>0</v>
      </c>
      <c r="G495" s="13">
        <v>0</v>
      </c>
      <c r="H495" s="13">
        <f t="shared" si="92"/>
        <v>0</v>
      </c>
      <c r="I495" s="13">
        <f t="shared" si="93"/>
        <v>0</v>
      </c>
      <c r="J495" s="13">
        <v>0</v>
      </c>
      <c r="K495" s="13">
        <v>0</v>
      </c>
      <c r="L495" s="13">
        <v>0</v>
      </c>
      <c r="M495" s="13">
        <v>0</v>
      </c>
      <c r="N495" s="13">
        <f t="shared" si="94"/>
        <v>0</v>
      </c>
      <c r="O495" t="s">
        <v>454</v>
      </c>
    </row>
    <row r="496" spans="1:15" x14ac:dyDescent="0.25">
      <c r="A496" s="11">
        <v>4</v>
      </c>
      <c r="B496" s="1" t="s">
        <v>396</v>
      </c>
      <c r="C496" s="1" t="s">
        <v>130</v>
      </c>
      <c r="D496" s="37">
        <v>31460</v>
      </c>
      <c r="E496" s="38">
        <v>0</v>
      </c>
      <c r="F496" s="13">
        <f t="shared" si="91"/>
        <v>0</v>
      </c>
      <c r="G496" s="13">
        <v>0</v>
      </c>
      <c r="H496" s="13">
        <f t="shared" si="92"/>
        <v>0</v>
      </c>
      <c r="I496" s="13">
        <f t="shared" si="93"/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f t="shared" si="94"/>
        <v>0</v>
      </c>
      <c r="O496" t="s">
        <v>454</v>
      </c>
    </row>
    <row r="497" spans="1:15" x14ac:dyDescent="0.25">
      <c r="A497" s="10">
        <v>5</v>
      </c>
      <c r="B497" s="1" t="s">
        <v>202</v>
      </c>
      <c r="C497" s="1" t="s">
        <v>112</v>
      </c>
      <c r="D497" s="37">
        <v>25000</v>
      </c>
      <c r="E497" s="38">
        <v>0</v>
      </c>
      <c r="F497" s="13">
        <f t="shared" si="91"/>
        <v>0</v>
      </c>
      <c r="G497" s="13">
        <v>0</v>
      </c>
      <c r="H497" s="13">
        <f t="shared" si="92"/>
        <v>0</v>
      </c>
      <c r="I497" s="13">
        <f t="shared" si="93"/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f t="shared" si="94"/>
        <v>0</v>
      </c>
      <c r="O497" t="s">
        <v>454</v>
      </c>
    </row>
    <row r="498" spans="1:15" x14ac:dyDescent="0.25">
      <c r="A498" s="11">
        <v>6</v>
      </c>
      <c r="B498" s="1" t="s">
        <v>362</v>
      </c>
      <c r="C498" s="1" t="s">
        <v>112</v>
      </c>
      <c r="D498" s="37">
        <v>25000</v>
      </c>
      <c r="E498" s="38">
        <v>0</v>
      </c>
      <c r="F498" s="13">
        <f t="shared" si="91"/>
        <v>0</v>
      </c>
      <c r="G498" s="13">
        <v>0</v>
      </c>
      <c r="H498" s="13">
        <f t="shared" si="92"/>
        <v>0</v>
      </c>
      <c r="I498" s="13">
        <f t="shared" si="93"/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f t="shared" si="94"/>
        <v>0</v>
      </c>
      <c r="O498" t="s">
        <v>454</v>
      </c>
    </row>
    <row r="499" spans="1:15" x14ac:dyDescent="0.25">
      <c r="A499" s="10">
        <v>7</v>
      </c>
      <c r="B499" s="1" t="s">
        <v>363</v>
      </c>
      <c r="C499" s="1" t="s">
        <v>112</v>
      </c>
      <c r="D499" s="37">
        <v>25000</v>
      </c>
      <c r="E499" s="38">
        <v>0</v>
      </c>
      <c r="F499" s="13">
        <f t="shared" si="91"/>
        <v>0</v>
      </c>
      <c r="G499" s="13">
        <v>0</v>
      </c>
      <c r="H499" s="13">
        <f t="shared" si="92"/>
        <v>0</v>
      </c>
      <c r="I499" s="13">
        <f t="shared" si="93"/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f t="shared" si="94"/>
        <v>0</v>
      </c>
      <c r="O499" t="s">
        <v>454</v>
      </c>
    </row>
    <row r="500" spans="1:15" x14ac:dyDescent="0.25">
      <c r="A500" s="11">
        <v>8</v>
      </c>
      <c r="B500" s="1" t="s">
        <v>364</v>
      </c>
      <c r="C500" s="1" t="s">
        <v>112</v>
      </c>
      <c r="D500" s="37">
        <v>25000</v>
      </c>
      <c r="E500" s="38">
        <v>0</v>
      </c>
      <c r="F500" s="13">
        <f t="shared" si="91"/>
        <v>0</v>
      </c>
      <c r="G500" s="13">
        <v>0</v>
      </c>
      <c r="H500" s="13">
        <f t="shared" si="92"/>
        <v>0</v>
      </c>
      <c r="I500" s="13">
        <f t="shared" si="93"/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f t="shared" si="94"/>
        <v>0</v>
      </c>
      <c r="O500" t="s">
        <v>454</v>
      </c>
    </row>
    <row r="501" spans="1:15" x14ac:dyDescent="0.25">
      <c r="A501" s="10">
        <v>9</v>
      </c>
      <c r="B501" s="1" t="s">
        <v>365</v>
      </c>
      <c r="C501" s="1" t="s">
        <v>112</v>
      </c>
      <c r="D501" s="37">
        <v>25000</v>
      </c>
      <c r="E501" s="38">
        <v>0</v>
      </c>
      <c r="F501" s="13">
        <f t="shared" si="91"/>
        <v>0</v>
      </c>
      <c r="G501" s="13">
        <v>0</v>
      </c>
      <c r="H501" s="13">
        <f t="shared" si="92"/>
        <v>0</v>
      </c>
      <c r="I501" s="13">
        <f t="shared" si="93"/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f t="shared" si="94"/>
        <v>0</v>
      </c>
      <c r="O501" t="s">
        <v>454</v>
      </c>
    </row>
    <row r="502" spans="1:15" ht="15.75" thickBot="1" x14ac:dyDescent="0.3">
      <c r="A502" s="11">
        <v>10</v>
      </c>
      <c r="B502" s="1" t="s">
        <v>316</v>
      </c>
      <c r="C502" s="1" t="s">
        <v>112</v>
      </c>
      <c r="D502" s="37">
        <v>25000</v>
      </c>
      <c r="E502" s="38">
        <v>0</v>
      </c>
      <c r="F502" s="13">
        <f t="shared" si="91"/>
        <v>0</v>
      </c>
      <c r="G502" s="13">
        <v>0</v>
      </c>
      <c r="H502" s="13">
        <f t="shared" si="92"/>
        <v>0</v>
      </c>
      <c r="I502" s="13">
        <f t="shared" si="93"/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f t="shared" si="94"/>
        <v>0</v>
      </c>
      <c r="O502" t="s">
        <v>454</v>
      </c>
    </row>
    <row r="503" spans="1:15" ht="15.75" thickBot="1" x14ac:dyDescent="0.3">
      <c r="A503" s="9"/>
      <c r="B503" s="3" t="s">
        <v>11</v>
      </c>
      <c r="C503" s="3"/>
      <c r="D503" s="39">
        <f>SUM(D493:D502)</f>
        <v>302170</v>
      </c>
      <c r="E503" s="39">
        <f t="shared" ref="E503:N503" si="95">SUM(E493:E502)</f>
        <v>0</v>
      </c>
      <c r="F503" s="39">
        <f t="shared" si="95"/>
        <v>0</v>
      </c>
      <c r="G503" s="39">
        <f t="shared" si="95"/>
        <v>0</v>
      </c>
      <c r="H503" s="39">
        <f t="shared" si="95"/>
        <v>0</v>
      </c>
      <c r="I503" s="39">
        <f t="shared" si="95"/>
        <v>0</v>
      </c>
      <c r="J503" s="39">
        <f t="shared" si="95"/>
        <v>0</v>
      </c>
      <c r="K503" s="39">
        <f t="shared" si="95"/>
        <v>0</v>
      </c>
      <c r="L503" s="39">
        <f t="shared" si="95"/>
        <v>0</v>
      </c>
      <c r="M503" s="39">
        <f t="shared" si="95"/>
        <v>0</v>
      </c>
      <c r="N503" s="39">
        <f t="shared" si="95"/>
        <v>0</v>
      </c>
    </row>
    <row r="504" spans="1:15" x14ac:dyDescent="0.25">
      <c r="M504" s="49">
        <f>+N503+N490</f>
        <v>0</v>
      </c>
      <c r="N504" s="49"/>
    </row>
    <row r="507" spans="1:15" ht="15.75" thickBot="1" x14ac:dyDescent="0.3">
      <c r="C507" s="6" t="s">
        <v>265</v>
      </c>
    </row>
    <row r="508" spans="1:15" ht="15.75" thickBot="1" x14ac:dyDescent="0.3">
      <c r="A508" s="9" t="s">
        <v>0</v>
      </c>
      <c r="B508" s="3" t="s">
        <v>1</v>
      </c>
      <c r="C508" s="3" t="s">
        <v>2</v>
      </c>
      <c r="D508" s="35" t="s">
        <v>3</v>
      </c>
      <c r="E508" s="35" t="s">
        <v>4</v>
      </c>
      <c r="F508" s="35" t="s">
        <v>5</v>
      </c>
      <c r="G508" s="35" t="s">
        <v>6</v>
      </c>
      <c r="H508" s="35" t="s">
        <v>5</v>
      </c>
      <c r="I508" s="35" t="s">
        <v>7</v>
      </c>
      <c r="J508" s="35" t="s">
        <v>8</v>
      </c>
      <c r="K508" s="35" t="s">
        <v>8</v>
      </c>
      <c r="L508" s="35" t="s">
        <v>9</v>
      </c>
      <c r="M508" s="35" t="s">
        <v>467</v>
      </c>
      <c r="N508" s="12" t="s">
        <v>10</v>
      </c>
    </row>
    <row r="509" spans="1:15" x14ac:dyDescent="0.25">
      <c r="A509" s="10">
        <v>1</v>
      </c>
      <c r="B509" s="2" t="s">
        <v>204</v>
      </c>
      <c r="C509" s="2" t="s">
        <v>158</v>
      </c>
      <c r="D509" s="13">
        <v>108900</v>
      </c>
      <c r="E509" s="38">
        <v>0</v>
      </c>
      <c r="F509" s="13">
        <f t="shared" ref="F509:F529" si="96">+D509/31*E509</f>
        <v>0</v>
      </c>
      <c r="G509" s="13">
        <v>0</v>
      </c>
      <c r="H509" s="13">
        <f t="shared" ref="H509:H529" si="97">+D509/248*G509</f>
        <v>0</v>
      </c>
      <c r="I509" s="13">
        <f t="shared" ref="I509:I529" si="98">+F509+H509</f>
        <v>0</v>
      </c>
      <c r="J509" s="13">
        <v>0</v>
      </c>
      <c r="K509" s="13">
        <v>0</v>
      </c>
      <c r="L509" s="13">
        <v>0</v>
      </c>
      <c r="M509" s="13">
        <v>0</v>
      </c>
      <c r="N509" s="13">
        <f t="shared" ref="N509:N529" si="99">+J509-K509-L509-M509</f>
        <v>0</v>
      </c>
      <c r="O509" t="s">
        <v>460</v>
      </c>
    </row>
    <row r="510" spans="1:15" x14ac:dyDescent="0.25">
      <c r="A510" s="10">
        <v>2</v>
      </c>
      <c r="B510" s="1" t="s">
        <v>174</v>
      </c>
      <c r="C510" s="2" t="s">
        <v>117</v>
      </c>
      <c r="D510" s="37">
        <v>50600</v>
      </c>
      <c r="E510" s="38">
        <v>0</v>
      </c>
      <c r="F510" s="13">
        <f t="shared" si="96"/>
        <v>0</v>
      </c>
      <c r="G510" s="13">
        <v>0</v>
      </c>
      <c r="H510" s="13">
        <f t="shared" si="97"/>
        <v>0</v>
      </c>
      <c r="I510" s="13">
        <f t="shared" si="98"/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f t="shared" si="99"/>
        <v>0</v>
      </c>
      <c r="O510" t="s">
        <v>454</v>
      </c>
    </row>
    <row r="511" spans="1:15" x14ac:dyDescent="0.25">
      <c r="A511" s="10">
        <v>3</v>
      </c>
      <c r="B511" s="1" t="s">
        <v>205</v>
      </c>
      <c r="C511" s="2" t="s">
        <v>117</v>
      </c>
      <c r="D511" s="13">
        <v>50730</v>
      </c>
      <c r="E511" s="38">
        <v>0</v>
      </c>
      <c r="F511" s="13">
        <f t="shared" si="96"/>
        <v>0</v>
      </c>
      <c r="G511" s="13">
        <v>0</v>
      </c>
      <c r="H511" s="13">
        <f t="shared" si="97"/>
        <v>0</v>
      </c>
      <c r="I511" s="13">
        <f t="shared" si="98"/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f t="shared" si="99"/>
        <v>0</v>
      </c>
      <c r="O511" t="s">
        <v>454</v>
      </c>
    </row>
    <row r="512" spans="1:15" x14ac:dyDescent="0.25">
      <c r="A512" s="10">
        <v>4</v>
      </c>
      <c r="B512" s="1" t="s">
        <v>254</v>
      </c>
      <c r="C512" s="2" t="s">
        <v>117</v>
      </c>
      <c r="D512" s="37">
        <v>50600</v>
      </c>
      <c r="E512" s="38">
        <v>0</v>
      </c>
      <c r="F512" s="13">
        <f t="shared" si="96"/>
        <v>0</v>
      </c>
      <c r="G512" s="13">
        <v>0</v>
      </c>
      <c r="H512" s="13">
        <f t="shared" si="97"/>
        <v>0</v>
      </c>
      <c r="I512" s="13">
        <f t="shared" si="98"/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f t="shared" si="99"/>
        <v>0</v>
      </c>
      <c r="O512" t="s">
        <v>454</v>
      </c>
    </row>
    <row r="513" spans="1:15" x14ac:dyDescent="0.25">
      <c r="A513" s="10">
        <v>5</v>
      </c>
      <c r="B513" s="1" t="s">
        <v>239</v>
      </c>
      <c r="C513" s="1" t="s">
        <v>130</v>
      </c>
      <c r="D513" s="37">
        <v>30750</v>
      </c>
      <c r="E513" s="38">
        <v>0</v>
      </c>
      <c r="F513" s="13">
        <f t="shared" si="96"/>
        <v>0</v>
      </c>
      <c r="G513" s="13">
        <v>0</v>
      </c>
      <c r="H513" s="13">
        <f t="shared" si="97"/>
        <v>0</v>
      </c>
      <c r="I513" s="13">
        <f t="shared" si="98"/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f t="shared" si="99"/>
        <v>0</v>
      </c>
      <c r="O513" t="s">
        <v>454</v>
      </c>
    </row>
    <row r="514" spans="1:15" x14ac:dyDescent="0.25">
      <c r="A514" s="10">
        <v>6</v>
      </c>
      <c r="B514" s="1" t="s">
        <v>206</v>
      </c>
      <c r="C514" s="1" t="s">
        <v>130</v>
      </c>
      <c r="D514" s="37">
        <v>30750</v>
      </c>
      <c r="E514" s="38">
        <v>0</v>
      </c>
      <c r="F514" s="13">
        <f t="shared" si="96"/>
        <v>0</v>
      </c>
      <c r="G514" s="13">
        <v>0</v>
      </c>
      <c r="H514" s="13">
        <f t="shared" si="97"/>
        <v>0</v>
      </c>
      <c r="I514" s="13">
        <f t="shared" si="98"/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f t="shared" si="99"/>
        <v>0</v>
      </c>
      <c r="O514" t="s">
        <v>454</v>
      </c>
    </row>
    <row r="515" spans="1:15" x14ac:dyDescent="0.25">
      <c r="A515" s="10">
        <v>7</v>
      </c>
      <c r="B515" s="1" t="s">
        <v>246</v>
      </c>
      <c r="C515" s="1" t="s">
        <v>130</v>
      </c>
      <c r="D515" s="37">
        <v>30750</v>
      </c>
      <c r="E515" s="38">
        <v>0</v>
      </c>
      <c r="F515" s="13">
        <f t="shared" si="96"/>
        <v>0</v>
      </c>
      <c r="G515" s="13">
        <v>0</v>
      </c>
      <c r="H515" s="13">
        <f t="shared" si="97"/>
        <v>0</v>
      </c>
      <c r="I515" s="13">
        <f t="shared" si="98"/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f t="shared" si="99"/>
        <v>0</v>
      </c>
      <c r="O515" t="s">
        <v>454</v>
      </c>
    </row>
    <row r="516" spans="1:15" x14ac:dyDescent="0.25">
      <c r="A516" s="10">
        <v>8</v>
      </c>
      <c r="B516" s="1" t="s">
        <v>376</v>
      </c>
      <c r="C516" s="1" t="s">
        <v>168</v>
      </c>
      <c r="D516" s="37">
        <v>25150</v>
      </c>
      <c r="E516" s="38">
        <v>0</v>
      </c>
      <c r="F516" s="13">
        <f t="shared" si="96"/>
        <v>0</v>
      </c>
      <c r="G516" s="13">
        <v>0</v>
      </c>
      <c r="H516" s="13">
        <f t="shared" si="97"/>
        <v>0</v>
      </c>
      <c r="I516" s="13">
        <f t="shared" si="98"/>
        <v>0</v>
      </c>
      <c r="J516" s="13">
        <v>0</v>
      </c>
      <c r="K516" s="13">
        <v>0</v>
      </c>
      <c r="L516" s="13">
        <v>0</v>
      </c>
      <c r="M516" s="13">
        <v>0</v>
      </c>
      <c r="N516" s="13">
        <f t="shared" si="99"/>
        <v>0</v>
      </c>
      <c r="O516" t="s">
        <v>454</v>
      </c>
    </row>
    <row r="517" spans="1:15" x14ac:dyDescent="0.25">
      <c r="A517" s="10">
        <v>9</v>
      </c>
      <c r="B517" s="1" t="s">
        <v>397</v>
      </c>
      <c r="C517" s="1" t="s">
        <v>168</v>
      </c>
      <c r="D517" s="37">
        <v>25150</v>
      </c>
      <c r="E517" s="38">
        <v>0</v>
      </c>
      <c r="F517" s="13">
        <f t="shared" si="96"/>
        <v>0</v>
      </c>
      <c r="G517" s="13">
        <v>0</v>
      </c>
      <c r="H517" s="13">
        <f t="shared" si="97"/>
        <v>0</v>
      </c>
      <c r="I517" s="13">
        <f t="shared" si="98"/>
        <v>0</v>
      </c>
      <c r="J517" s="13">
        <v>0</v>
      </c>
      <c r="K517" s="13">
        <v>0</v>
      </c>
      <c r="L517" s="13">
        <v>0</v>
      </c>
      <c r="M517" s="13">
        <v>0</v>
      </c>
      <c r="N517" s="13">
        <f t="shared" si="99"/>
        <v>0</v>
      </c>
      <c r="O517" t="s">
        <v>454</v>
      </c>
    </row>
    <row r="518" spans="1:15" x14ac:dyDescent="0.25">
      <c r="A518" s="10">
        <v>10</v>
      </c>
      <c r="B518" s="1" t="s">
        <v>441</v>
      </c>
      <c r="C518" s="1" t="s">
        <v>168</v>
      </c>
      <c r="D518" s="37">
        <v>25150</v>
      </c>
      <c r="E518" s="38">
        <v>0</v>
      </c>
      <c r="F518" s="13">
        <f t="shared" si="96"/>
        <v>0</v>
      </c>
      <c r="G518" s="13">
        <v>0</v>
      </c>
      <c r="H518" s="13">
        <f t="shared" si="97"/>
        <v>0</v>
      </c>
      <c r="I518" s="13">
        <f t="shared" si="98"/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f t="shared" si="99"/>
        <v>0</v>
      </c>
      <c r="O518" t="s">
        <v>454</v>
      </c>
    </row>
    <row r="519" spans="1:15" x14ac:dyDescent="0.25">
      <c r="A519" s="10">
        <v>11</v>
      </c>
      <c r="B519" s="1" t="s">
        <v>207</v>
      </c>
      <c r="C519" s="1" t="s">
        <v>112</v>
      </c>
      <c r="D519" s="37">
        <v>25000</v>
      </c>
      <c r="E519" s="38">
        <v>0</v>
      </c>
      <c r="F519" s="13">
        <f t="shared" si="96"/>
        <v>0</v>
      </c>
      <c r="G519" s="13">
        <v>0</v>
      </c>
      <c r="H519" s="13">
        <f t="shared" si="97"/>
        <v>0</v>
      </c>
      <c r="I519" s="13">
        <f t="shared" si="98"/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f t="shared" si="99"/>
        <v>0</v>
      </c>
      <c r="O519" t="s">
        <v>454</v>
      </c>
    </row>
    <row r="520" spans="1:15" x14ac:dyDescent="0.25">
      <c r="A520" s="10">
        <v>12</v>
      </c>
      <c r="B520" s="1" t="s">
        <v>348</v>
      </c>
      <c r="C520" s="1" t="s">
        <v>112</v>
      </c>
      <c r="D520" s="37">
        <v>25000</v>
      </c>
      <c r="E520" s="38">
        <v>0</v>
      </c>
      <c r="F520" s="13">
        <f t="shared" si="96"/>
        <v>0</v>
      </c>
      <c r="G520" s="13">
        <v>0</v>
      </c>
      <c r="H520" s="13">
        <f t="shared" si="97"/>
        <v>0</v>
      </c>
      <c r="I520" s="13">
        <f t="shared" si="98"/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f t="shared" si="99"/>
        <v>0</v>
      </c>
      <c r="O520" t="s">
        <v>454</v>
      </c>
    </row>
    <row r="521" spans="1:15" x14ac:dyDescent="0.25">
      <c r="A521" s="10">
        <v>13</v>
      </c>
      <c r="B521" s="1" t="s">
        <v>365</v>
      </c>
      <c r="C521" s="1" t="s">
        <v>112</v>
      </c>
      <c r="D521" s="37">
        <v>25000</v>
      </c>
      <c r="E521" s="38">
        <v>0</v>
      </c>
      <c r="F521" s="13">
        <f t="shared" si="96"/>
        <v>0</v>
      </c>
      <c r="G521" s="13">
        <v>0</v>
      </c>
      <c r="H521" s="13">
        <f t="shared" si="97"/>
        <v>0</v>
      </c>
      <c r="I521" s="13">
        <f t="shared" si="98"/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f t="shared" si="99"/>
        <v>0</v>
      </c>
      <c r="O521" t="s">
        <v>454</v>
      </c>
    </row>
    <row r="522" spans="1:15" x14ac:dyDescent="0.25">
      <c r="A522" s="10">
        <v>14</v>
      </c>
      <c r="B522" s="1" t="s">
        <v>422</v>
      </c>
      <c r="C522" s="1" t="s">
        <v>112</v>
      </c>
      <c r="D522" s="37">
        <v>25000</v>
      </c>
      <c r="E522" s="38">
        <v>0</v>
      </c>
      <c r="F522" s="13">
        <f t="shared" si="96"/>
        <v>0</v>
      </c>
      <c r="G522" s="13">
        <v>0</v>
      </c>
      <c r="H522" s="13">
        <f t="shared" si="97"/>
        <v>0</v>
      </c>
      <c r="I522" s="13">
        <f t="shared" si="98"/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f t="shared" si="99"/>
        <v>0</v>
      </c>
      <c r="O522" t="s">
        <v>454</v>
      </c>
    </row>
    <row r="523" spans="1:15" x14ac:dyDescent="0.25">
      <c r="A523" s="10">
        <v>15</v>
      </c>
      <c r="B523" s="1" t="s">
        <v>85</v>
      </c>
      <c r="C523" s="1" t="s">
        <v>112</v>
      </c>
      <c r="D523" s="37">
        <v>25000</v>
      </c>
      <c r="E523" s="38">
        <v>0</v>
      </c>
      <c r="F523" s="13">
        <f t="shared" si="96"/>
        <v>0</v>
      </c>
      <c r="G523" s="13">
        <v>0</v>
      </c>
      <c r="H523" s="13">
        <f t="shared" si="97"/>
        <v>0</v>
      </c>
      <c r="I523" s="13">
        <f t="shared" si="98"/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f t="shared" si="99"/>
        <v>0</v>
      </c>
      <c r="O523" t="s">
        <v>454</v>
      </c>
    </row>
    <row r="524" spans="1:15" x14ac:dyDescent="0.25">
      <c r="A524" s="10">
        <v>16</v>
      </c>
      <c r="B524" s="1" t="s">
        <v>216</v>
      </c>
      <c r="C524" s="1" t="s">
        <v>112</v>
      </c>
      <c r="D524" s="37">
        <v>25000</v>
      </c>
      <c r="E524" s="38">
        <v>0</v>
      </c>
      <c r="F524" s="13">
        <f t="shared" si="96"/>
        <v>0</v>
      </c>
      <c r="G524" s="13">
        <v>0</v>
      </c>
      <c r="H524" s="13">
        <f t="shared" si="97"/>
        <v>0</v>
      </c>
      <c r="I524" s="13">
        <f t="shared" si="98"/>
        <v>0</v>
      </c>
      <c r="J524" s="13">
        <v>0</v>
      </c>
      <c r="K524" s="13">
        <v>0</v>
      </c>
      <c r="L524" s="13">
        <v>0</v>
      </c>
      <c r="M524" s="13">
        <v>0</v>
      </c>
      <c r="N524" s="13">
        <f t="shared" si="99"/>
        <v>0</v>
      </c>
      <c r="O524" t="s">
        <v>454</v>
      </c>
    </row>
    <row r="525" spans="1:15" x14ac:dyDescent="0.25">
      <c r="A525" s="10">
        <v>17</v>
      </c>
      <c r="B525" s="1" t="s">
        <v>442</v>
      </c>
      <c r="C525" s="1" t="s">
        <v>112</v>
      </c>
      <c r="D525" s="37">
        <v>25000</v>
      </c>
      <c r="E525" s="38">
        <v>0</v>
      </c>
      <c r="F525" s="13">
        <f t="shared" si="96"/>
        <v>0</v>
      </c>
      <c r="G525" s="13">
        <v>0</v>
      </c>
      <c r="H525" s="13">
        <f t="shared" si="97"/>
        <v>0</v>
      </c>
      <c r="I525" s="13">
        <f t="shared" si="98"/>
        <v>0</v>
      </c>
      <c r="J525" s="13">
        <v>0</v>
      </c>
      <c r="K525" s="13">
        <v>0</v>
      </c>
      <c r="L525" s="13">
        <v>0</v>
      </c>
      <c r="M525" s="13">
        <v>0</v>
      </c>
      <c r="N525" s="13">
        <f t="shared" si="99"/>
        <v>0</v>
      </c>
      <c r="O525" t="s">
        <v>454</v>
      </c>
    </row>
    <row r="526" spans="1:15" x14ac:dyDescent="0.25">
      <c r="A526" s="10">
        <v>18</v>
      </c>
      <c r="B526" s="1" t="s">
        <v>366</v>
      </c>
      <c r="C526" s="1" t="s">
        <v>112</v>
      </c>
      <c r="D526" s="37">
        <v>25000</v>
      </c>
      <c r="E526" s="38">
        <v>0</v>
      </c>
      <c r="F526" s="13">
        <f t="shared" si="96"/>
        <v>0</v>
      </c>
      <c r="G526" s="13">
        <v>0</v>
      </c>
      <c r="H526" s="13">
        <f t="shared" si="97"/>
        <v>0</v>
      </c>
      <c r="I526" s="13">
        <f t="shared" si="98"/>
        <v>0</v>
      </c>
      <c r="J526" s="13">
        <v>0</v>
      </c>
      <c r="K526" s="13">
        <v>0</v>
      </c>
      <c r="L526" s="13">
        <v>0</v>
      </c>
      <c r="M526" s="13">
        <v>0</v>
      </c>
      <c r="N526" s="13">
        <f t="shared" si="99"/>
        <v>0</v>
      </c>
      <c r="O526" t="s">
        <v>454</v>
      </c>
    </row>
    <row r="527" spans="1:15" x14ac:dyDescent="0.25">
      <c r="A527" s="10">
        <v>19</v>
      </c>
      <c r="B527" s="1" t="s">
        <v>199</v>
      </c>
      <c r="C527" s="1" t="s">
        <v>112</v>
      </c>
      <c r="D527" s="37">
        <v>25000</v>
      </c>
      <c r="E527" s="38">
        <v>0</v>
      </c>
      <c r="F527" s="13">
        <f t="shared" si="96"/>
        <v>0</v>
      </c>
      <c r="G527" s="13">
        <v>0</v>
      </c>
      <c r="H527" s="13">
        <f t="shared" si="97"/>
        <v>0</v>
      </c>
      <c r="I527" s="13">
        <f t="shared" si="98"/>
        <v>0</v>
      </c>
      <c r="J527" s="13">
        <v>0</v>
      </c>
      <c r="K527" s="13">
        <v>0</v>
      </c>
      <c r="L527" s="13">
        <v>0</v>
      </c>
      <c r="M527" s="13">
        <v>0</v>
      </c>
      <c r="N527" s="13">
        <f t="shared" si="99"/>
        <v>0</v>
      </c>
      <c r="O527" t="s">
        <v>454</v>
      </c>
    </row>
    <row r="528" spans="1:15" x14ac:dyDescent="0.25">
      <c r="A528" s="10">
        <v>20</v>
      </c>
      <c r="B528" s="1" t="s">
        <v>443</v>
      </c>
      <c r="C528" s="1" t="s">
        <v>112</v>
      </c>
      <c r="D528" s="37">
        <v>25000</v>
      </c>
      <c r="E528" s="38">
        <v>0</v>
      </c>
      <c r="F528" s="13">
        <f t="shared" si="96"/>
        <v>0</v>
      </c>
      <c r="G528" s="13">
        <v>0</v>
      </c>
      <c r="H528" s="13">
        <f t="shared" si="97"/>
        <v>0</v>
      </c>
      <c r="I528" s="13">
        <f t="shared" si="98"/>
        <v>0</v>
      </c>
      <c r="J528" s="13">
        <v>0</v>
      </c>
      <c r="K528" s="13">
        <v>0</v>
      </c>
      <c r="L528" s="13">
        <v>0</v>
      </c>
      <c r="M528" s="13">
        <v>0</v>
      </c>
      <c r="N528" s="13">
        <f t="shared" si="99"/>
        <v>0</v>
      </c>
      <c r="O528" t="s">
        <v>454</v>
      </c>
    </row>
    <row r="529" spans="1:15" ht="15.75" thickBot="1" x14ac:dyDescent="0.3">
      <c r="A529" s="10">
        <v>21</v>
      </c>
      <c r="B529" s="1" t="s">
        <v>195</v>
      </c>
      <c r="C529" s="1" t="s">
        <v>112</v>
      </c>
      <c r="D529" s="37">
        <v>25000</v>
      </c>
      <c r="E529" s="38">
        <v>0</v>
      </c>
      <c r="F529" s="13">
        <f t="shared" si="96"/>
        <v>0</v>
      </c>
      <c r="G529" s="13">
        <v>0</v>
      </c>
      <c r="H529" s="13">
        <f t="shared" si="97"/>
        <v>0</v>
      </c>
      <c r="I529" s="13">
        <f t="shared" si="98"/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f t="shared" si="99"/>
        <v>0</v>
      </c>
      <c r="O529" t="s">
        <v>454</v>
      </c>
    </row>
    <row r="530" spans="1:15" ht="15.75" thickBot="1" x14ac:dyDescent="0.3">
      <c r="A530" s="9"/>
      <c r="B530" s="3" t="s">
        <v>11</v>
      </c>
      <c r="C530" s="3"/>
      <c r="D530" s="39">
        <f>SUM(D509:D529)</f>
        <v>703530</v>
      </c>
      <c r="E530" s="39">
        <f>SUM(E509:E529)</f>
        <v>0</v>
      </c>
      <c r="F530" s="39">
        <f>SUM(F509:F529)</f>
        <v>0</v>
      </c>
      <c r="G530" s="39">
        <f>SUM(G509:G529)</f>
        <v>0</v>
      </c>
      <c r="H530" s="39">
        <f>SUM(H509:H529)</f>
        <v>0</v>
      </c>
      <c r="I530" s="39">
        <f>SUM(I509:I529)</f>
        <v>0</v>
      </c>
      <c r="J530" s="39">
        <f>SUM(J509:J529)</f>
        <v>0</v>
      </c>
      <c r="K530" s="39">
        <f>SUM(K509:K529)</f>
        <v>0</v>
      </c>
      <c r="L530" s="39">
        <f>SUM(L509:L529)</f>
        <v>0</v>
      </c>
      <c r="M530" s="39">
        <f>SUM(M509:M529)</f>
        <v>0</v>
      </c>
      <c r="N530" s="39">
        <f>SUM(N509:N529)</f>
        <v>0</v>
      </c>
    </row>
    <row r="531" spans="1:15" x14ac:dyDescent="0.25">
      <c r="J531" s="14"/>
    </row>
    <row r="532" spans="1:15" x14ac:dyDescent="0.25">
      <c r="D532" s="40"/>
    </row>
    <row r="541" spans="1:15" ht="15.75" thickBot="1" x14ac:dyDescent="0.3">
      <c r="C541" s="6" t="s">
        <v>266</v>
      </c>
    </row>
    <row r="542" spans="1:15" ht="15.75" thickBot="1" x14ac:dyDescent="0.3">
      <c r="A542" s="9" t="s">
        <v>0</v>
      </c>
      <c r="B542" s="3" t="s">
        <v>1</v>
      </c>
      <c r="C542" s="3" t="s">
        <v>2</v>
      </c>
      <c r="D542" s="35" t="s">
        <v>3</v>
      </c>
      <c r="E542" s="35" t="s">
        <v>4</v>
      </c>
      <c r="F542" s="35" t="s">
        <v>5</v>
      </c>
      <c r="G542" s="35" t="s">
        <v>6</v>
      </c>
      <c r="H542" s="35" t="s">
        <v>5</v>
      </c>
      <c r="I542" s="35" t="s">
        <v>7</v>
      </c>
      <c r="J542" s="35" t="s">
        <v>8</v>
      </c>
      <c r="K542" s="35" t="s">
        <v>8</v>
      </c>
      <c r="L542" s="35" t="s">
        <v>9</v>
      </c>
      <c r="M542" s="35" t="s">
        <v>467</v>
      </c>
      <c r="N542" s="12" t="s">
        <v>10</v>
      </c>
    </row>
    <row r="543" spans="1:15" x14ac:dyDescent="0.25">
      <c r="A543" s="10">
        <v>1</v>
      </c>
      <c r="B543" s="2" t="s">
        <v>209</v>
      </c>
      <c r="C543" s="2" t="s">
        <v>147</v>
      </c>
      <c r="D543" s="13">
        <v>146410</v>
      </c>
      <c r="E543" s="38">
        <v>0</v>
      </c>
      <c r="F543" s="13">
        <f t="shared" ref="F543:F560" si="100">+D543/31*E543</f>
        <v>0</v>
      </c>
      <c r="G543" s="13">
        <v>0</v>
      </c>
      <c r="H543" s="13">
        <f t="shared" ref="H543:H560" si="101">+D543/248*G543</f>
        <v>0</v>
      </c>
      <c r="I543" s="13">
        <f t="shared" ref="I543:I560" si="102">+F543+H543</f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f t="shared" ref="N543:N560" si="103">+J543-K543-L543-M543</f>
        <v>0</v>
      </c>
      <c r="O543" t="s">
        <v>460</v>
      </c>
    </row>
    <row r="544" spans="1:15" x14ac:dyDescent="0.25">
      <c r="A544" s="11">
        <v>2</v>
      </c>
      <c r="B544" s="1" t="s">
        <v>210</v>
      </c>
      <c r="C544" s="2" t="s">
        <v>101</v>
      </c>
      <c r="D544" s="13">
        <v>56375</v>
      </c>
      <c r="E544" s="38">
        <v>0</v>
      </c>
      <c r="F544" s="13">
        <f t="shared" si="100"/>
        <v>0</v>
      </c>
      <c r="G544" s="13">
        <v>0</v>
      </c>
      <c r="H544" s="13">
        <f t="shared" si="101"/>
        <v>0</v>
      </c>
      <c r="I544" s="13">
        <f t="shared" si="102"/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f t="shared" si="103"/>
        <v>0</v>
      </c>
      <c r="O544" t="s">
        <v>454</v>
      </c>
    </row>
    <row r="545" spans="1:15" x14ac:dyDescent="0.25">
      <c r="A545" s="10">
        <v>3</v>
      </c>
      <c r="B545" s="1" t="s">
        <v>53</v>
      </c>
      <c r="C545" s="2" t="s">
        <v>101</v>
      </c>
      <c r="D545" s="37">
        <v>56375</v>
      </c>
      <c r="E545" s="38">
        <v>0</v>
      </c>
      <c r="F545" s="13">
        <f t="shared" si="100"/>
        <v>0</v>
      </c>
      <c r="G545" s="13">
        <v>0</v>
      </c>
      <c r="H545" s="13">
        <f t="shared" si="101"/>
        <v>0</v>
      </c>
      <c r="I545" s="13">
        <f t="shared" si="102"/>
        <v>0</v>
      </c>
      <c r="J545" s="13">
        <v>0</v>
      </c>
      <c r="K545" s="13">
        <v>0</v>
      </c>
      <c r="L545" s="13">
        <v>0</v>
      </c>
      <c r="M545" s="13">
        <v>0</v>
      </c>
      <c r="N545" s="13">
        <f t="shared" si="103"/>
        <v>0</v>
      </c>
      <c r="O545" t="s">
        <v>454</v>
      </c>
    </row>
    <row r="546" spans="1:15" x14ac:dyDescent="0.25">
      <c r="A546" s="11">
        <v>4</v>
      </c>
      <c r="B546" s="1" t="s">
        <v>211</v>
      </c>
      <c r="C546" s="1" t="s">
        <v>208</v>
      </c>
      <c r="D546" s="37">
        <v>40260</v>
      </c>
      <c r="E546" s="38">
        <v>0</v>
      </c>
      <c r="F546" s="13">
        <f t="shared" si="100"/>
        <v>0</v>
      </c>
      <c r="G546" s="13">
        <v>0</v>
      </c>
      <c r="H546" s="13">
        <f t="shared" si="101"/>
        <v>0</v>
      </c>
      <c r="I546" s="13">
        <f t="shared" si="102"/>
        <v>0</v>
      </c>
      <c r="J546" s="13">
        <v>0</v>
      </c>
      <c r="K546" s="13">
        <v>0</v>
      </c>
      <c r="L546" s="13">
        <v>0</v>
      </c>
      <c r="M546" s="13">
        <v>0</v>
      </c>
      <c r="N546" s="13">
        <f t="shared" si="103"/>
        <v>0</v>
      </c>
      <c r="O546" t="s">
        <v>454</v>
      </c>
    </row>
    <row r="547" spans="1:15" x14ac:dyDescent="0.25">
      <c r="A547" s="10">
        <v>5</v>
      </c>
      <c r="B547" s="1" t="s">
        <v>167</v>
      </c>
      <c r="C547" s="1" t="s">
        <v>208</v>
      </c>
      <c r="D547" s="37">
        <v>40260</v>
      </c>
      <c r="E547" s="38">
        <v>0</v>
      </c>
      <c r="F547" s="13">
        <f t="shared" si="100"/>
        <v>0</v>
      </c>
      <c r="G547" s="13">
        <v>0</v>
      </c>
      <c r="H547" s="13">
        <f t="shared" si="101"/>
        <v>0</v>
      </c>
      <c r="I547" s="13">
        <f t="shared" si="102"/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f t="shared" si="103"/>
        <v>0</v>
      </c>
      <c r="O547" t="s">
        <v>454</v>
      </c>
    </row>
    <row r="548" spans="1:15" x14ac:dyDescent="0.25">
      <c r="A548" s="11">
        <v>6</v>
      </c>
      <c r="B548" s="1" t="s">
        <v>349</v>
      </c>
      <c r="C548" s="2" t="s">
        <v>24</v>
      </c>
      <c r="D548" s="37">
        <v>29600</v>
      </c>
      <c r="E548" s="38">
        <v>0</v>
      </c>
      <c r="F548" s="13">
        <f t="shared" si="100"/>
        <v>0</v>
      </c>
      <c r="G548" s="13">
        <v>0</v>
      </c>
      <c r="H548" s="13">
        <f t="shared" si="101"/>
        <v>0</v>
      </c>
      <c r="I548" s="13">
        <f t="shared" si="102"/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f t="shared" si="103"/>
        <v>0</v>
      </c>
      <c r="O548" t="s">
        <v>454</v>
      </c>
    </row>
    <row r="549" spans="1:15" x14ac:dyDescent="0.25">
      <c r="A549" s="10">
        <v>7</v>
      </c>
      <c r="B549" s="1" t="s">
        <v>213</v>
      </c>
      <c r="C549" s="2" t="s">
        <v>117</v>
      </c>
      <c r="D549" s="37">
        <v>34400</v>
      </c>
      <c r="E549" s="38">
        <v>0</v>
      </c>
      <c r="F549" s="13">
        <f t="shared" si="100"/>
        <v>0</v>
      </c>
      <c r="G549" s="13">
        <v>0</v>
      </c>
      <c r="H549" s="13">
        <f t="shared" si="101"/>
        <v>0</v>
      </c>
      <c r="I549" s="13">
        <f t="shared" si="102"/>
        <v>0</v>
      </c>
      <c r="J549" s="13">
        <v>0</v>
      </c>
      <c r="K549" s="13">
        <v>0</v>
      </c>
      <c r="L549" s="13">
        <v>0</v>
      </c>
      <c r="M549" s="13">
        <v>0</v>
      </c>
      <c r="N549" s="13">
        <f t="shared" si="103"/>
        <v>0</v>
      </c>
      <c r="O549" t="s">
        <v>454</v>
      </c>
    </row>
    <row r="550" spans="1:15" x14ac:dyDescent="0.25">
      <c r="A550" s="11">
        <v>8</v>
      </c>
      <c r="B550" s="1" t="s">
        <v>214</v>
      </c>
      <c r="C550" s="2" t="s">
        <v>117</v>
      </c>
      <c r="D550" s="41">
        <v>34400</v>
      </c>
      <c r="E550" s="38">
        <v>0</v>
      </c>
      <c r="F550" s="13">
        <f t="shared" si="100"/>
        <v>0</v>
      </c>
      <c r="G550" s="13">
        <v>0</v>
      </c>
      <c r="H550" s="13">
        <f t="shared" si="101"/>
        <v>0</v>
      </c>
      <c r="I550" s="13">
        <f t="shared" si="102"/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f t="shared" si="103"/>
        <v>0</v>
      </c>
      <c r="O550" t="s">
        <v>454</v>
      </c>
    </row>
    <row r="551" spans="1:15" x14ac:dyDescent="0.25">
      <c r="A551" s="10">
        <v>9</v>
      </c>
      <c r="B551" s="1" t="s">
        <v>218</v>
      </c>
      <c r="C551" s="2" t="s">
        <v>117</v>
      </c>
      <c r="D551" s="37">
        <v>31280</v>
      </c>
      <c r="E551" s="38">
        <v>0</v>
      </c>
      <c r="F551" s="13">
        <f t="shared" si="100"/>
        <v>0</v>
      </c>
      <c r="G551" s="13">
        <v>0</v>
      </c>
      <c r="H551" s="13">
        <f t="shared" si="101"/>
        <v>0</v>
      </c>
      <c r="I551" s="13">
        <f t="shared" si="102"/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f t="shared" si="103"/>
        <v>0</v>
      </c>
      <c r="O551" t="s">
        <v>454</v>
      </c>
    </row>
    <row r="552" spans="1:15" x14ac:dyDescent="0.25">
      <c r="A552" s="11">
        <v>10</v>
      </c>
      <c r="B552" s="1" t="s">
        <v>255</v>
      </c>
      <c r="C552" s="2" t="s">
        <v>117</v>
      </c>
      <c r="D552" s="37">
        <v>34320</v>
      </c>
      <c r="E552" s="38">
        <v>0</v>
      </c>
      <c r="F552" s="13">
        <f t="shared" si="100"/>
        <v>0</v>
      </c>
      <c r="G552" s="13">
        <v>0</v>
      </c>
      <c r="H552" s="13">
        <f t="shared" si="101"/>
        <v>0</v>
      </c>
      <c r="I552" s="13">
        <f t="shared" si="102"/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f t="shared" si="103"/>
        <v>0</v>
      </c>
      <c r="O552" t="s">
        <v>454</v>
      </c>
    </row>
    <row r="553" spans="1:15" x14ac:dyDescent="0.25">
      <c r="A553" s="10">
        <v>11</v>
      </c>
      <c r="B553" s="1" t="s">
        <v>217</v>
      </c>
      <c r="C553" s="2" t="s">
        <v>117</v>
      </c>
      <c r="D553" s="37">
        <v>34400</v>
      </c>
      <c r="E553" s="38">
        <v>0</v>
      </c>
      <c r="F553" s="13">
        <f t="shared" si="100"/>
        <v>0</v>
      </c>
      <c r="G553" s="13">
        <v>0</v>
      </c>
      <c r="H553" s="13">
        <f t="shared" si="101"/>
        <v>0</v>
      </c>
      <c r="I553" s="13">
        <f t="shared" si="102"/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f t="shared" si="103"/>
        <v>0</v>
      </c>
      <c r="O553" t="s">
        <v>454</v>
      </c>
    </row>
    <row r="554" spans="1:15" x14ac:dyDescent="0.25">
      <c r="A554" s="11">
        <v>12</v>
      </c>
      <c r="B554" s="1" t="s">
        <v>333</v>
      </c>
      <c r="C554" s="2" t="s">
        <v>117</v>
      </c>
      <c r="D554" s="37">
        <v>34400</v>
      </c>
      <c r="E554" s="38">
        <v>0</v>
      </c>
      <c r="F554" s="13">
        <f t="shared" si="100"/>
        <v>0</v>
      </c>
      <c r="G554" s="13">
        <v>0</v>
      </c>
      <c r="H554" s="13">
        <f t="shared" si="101"/>
        <v>0</v>
      </c>
      <c r="I554" s="13">
        <f t="shared" si="102"/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f t="shared" si="103"/>
        <v>0</v>
      </c>
      <c r="O554" t="s">
        <v>454</v>
      </c>
    </row>
    <row r="555" spans="1:15" x14ac:dyDescent="0.25">
      <c r="A555" s="10">
        <v>13</v>
      </c>
      <c r="B555" s="1" t="s">
        <v>216</v>
      </c>
      <c r="C555" s="2" t="s">
        <v>117</v>
      </c>
      <c r="D555" s="37">
        <v>34400</v>
      </c>
      <c r="E555" s="38">
        <v>0</v>
      </c>
      <c r="F555" s="13">
        <f t="shared" si="100"/>
        <v>0</v>
      </c>
      <c r="G555" s="13">
        <v>0</v>
      </c>
      <c r="H555" s="13">
        <f t="shared" si="101"/>
        <v>0</v>
      </c>
      <c r="I555" s="13">
        <f t="shared" si="102"/>
        <v>0</v>
      </c>
      <c r="J555" s="13">
        <v>0</v>
      </c>
      <c r="K555" s="13">
        <v>0</v>
      </c>
      <c r="L555" s="13">
        <v>0</v>
      </c>
      <c r="M555" s="13">
        <v>0</v>
      </c>
      <c r="N555" s="13">
        <f t="shared" si="103"/>
        <v>0</v>
      </c>
      <c r="O555" t="s">
        <v>454</v>
      </c>
    </row>
    <row r="556" spans="1:15" x14ac:dyDescent="0.25">
      <c r="A556" s="11">
        <v>14</v>
      </c>
      <c r="B556" s="1" t="s">
        <v>335</v>
      </c>
      <c r="C556" s="2" t="s">
        <v>117</v>
      </c>
      <c r="D556" s="37">
        <v>31200</v>
      </c>
      <c r="E556" s="38">
        <v>0</v>
      </c>
      <c r="F556" s="13">
        <f t="shared" si="100"/>
        <v>0</v>
      </c>
      <c r="G556" s="13">
        <v>0</v>
      </c>
      <c r="H556" s="13">
        <f t="shared" si="101"/>
        <v>0</v>
      </c>
      <c r="I556" s="13">
        <f t="shared" si="102"/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f t="shared" si="103"/>
        <v>0</v>
      </c>
      <c r="O556" t="s">
        <v>454</v>
      </c>
    </row>
    <row r="557" spans="1:15" x14ac:dyDescent="0.25">
      <c r="A557" s="10">
        <v>15</v>
      </c>
      <c r="B557" s="1" t="s">
        <v>248</v>
      </c>
      <c r="C557" s="2" t="s">
        <v>117</v>
      </c>
      <c r="D557" s="37">
        <v>31200</v>
      </c>
      <c r="E557" s="38">
        <v>0</v>
      </c>
      <c r="F557" s="13">
        <f t="shared" si="100"/>
        <v>0</v>
      </c>
      <c r="G557" s="13">
        <v>0</v>
      </c>
      <c r="H557" s="13">
        <f t="shared" si="101"/>
        <v>0</v>
      </c>
      <c r="I557" s="13">
        <f t="shared" si="102"/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f t="shared" si="103"/>
        <v>0</v>
      </c>
      <c r="O557" t="s">
        <v>454</v>
      </c>
    </row>
    <row r="558" spans="1:15" x14ac:dyDescent="0.25">
      <c r="A558" s="11">
        <v>16</v>
      </c>
      <c r="B558" s="1" t="s">
        <v>212</v>
      </c>
      <c r="C558" s="1" t="s">
        <v>117</v>
      </c>
      <c r="D558" s="37">
        <v>31200</v>
      </c>
      <c r="E558" s="38">
        <v>0</v>
      </c>
      <c r="F558" s="13">
        <f t="shared" si="100"/>
        <v>0</v>
      </c>
      <c r="G558" s="13">
        <v>0</v>
      </c>
      <c r="H558" s="13">
        <f t="shared" si="101"/>
        <v>0</v>
      </c>
      <c r="I558" s="13">
        <f t="shared" si="102"/>
        <v>0</v>
      </c>
      <c r="J558" s="13">
        <v>0</v>
      </c>
      <c r="K558" s="13">
        <v>0</v>
      </c>
      <c r="L558" s="13">
        <v>0</v>
      </c>
      <c r="M558" s="13">
        <v>0</v>
      </c>
      <c r="N558" s="13">
        <f t="shared" si="103"/>
        <v>0</v>
      </c>
      <c r="O558" t="s">
        <v>454</v>
      </c>
    </row>
    <row r="559" spans="1:15" x14ac:dyDescent="0.25">
      <c r="A559" s="10">
        <v>17</v>
      </c>
      <c r="B559" s="1" t="s">
        <v>199</v>
      </c>
      <c r="C559" s="2" t="s">
        <v>117</v>
      </c>
      <c r="D559" s="37">
        <v>31200</v>
      </c>
      <c r="E559" s="38">
        <v>0</v>
      </c>
      <c r="F559" s="13">
        <f t="shared" si="100"/>
        <v>0</v>
      </c>
      <c r="G559" s="13">
        <v>0</v>
      </c>
      <c r="H559" s="13">
        <f t="shared" si="101"/>
        <v>0</v>
      </c>
      <c r="I559" s="13">
        <f t="shared" si="102"/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f t="shared" si="103"/>
        <v>0</v>
      </c>
      <c r="O559" t="s">
        <v>454</v>
      </c>
    </row>
    <row r="560" spans="1:15" ht="15.75" thickBot="1" x14ac:dyDescent="0.3">
      <c r="A560" s="11">
        <v>18</v>
      </c>
      <c r="B560" s="1" t="s">
        <v>215</v>
      </c>
      <c r="C560" s="2" t="s">
        <v>117</v>
      </c>
      <c r="D560" s="37">
        <v>31270</v>
      </c>
      <c r="E560" s="38">
        <v>0</v>
      </c>
      <c r="F560" s="13">
        <f t="shared" si="100"/>
        <v>0</v>
      </c>
      <c r="G560" s="13">
        <v>0</v>
      </c>
      <c r="H560" s="13">
        <f t="shared" si="101"/>
        <v>0</v>
      </c>
      <c r="I560" s="13">
        <f t="shared" si="102"/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f t="shared" si="103"/>
        <v>0</v>
      </c>
      <c r="O560" t="s">
        <v>454</v>
      </c>
    </row>
    <row r="561" spans="1:15" ht="15.75" thickBot="1" x14ac:dyDescent="0.3">
      <c r="A561" s="9"/>
      <c r="B561" s="3" t="s">
        <v>11</v>
      </c>
      <c r="C561" s="3"/>
      <c r="D561" s="39">
        <f>SUM(D543:D560)</f>
        <v>762950</v>
      </c>
      <c r="E561" s="39">
        <f t="shared" ref="E561:N561" si="104">SUM(E543:E560)</f>
        <v>0</v>
      </c>
      <c r="F561" s="39">
        <f t="shared" si="104"/>
        <v>0</v>
      </c>
      <c r="G561" s="39">
        <f t="shared" si="104"/>
        <v>0</v>
      </c>
      <c r="H561" s="39">
        <f t="shared" si="104"/>
        <v>0</v>
      </c>
      <c r="I561" s="39">
        <f t="shared" si="104"/>
        <v>0</v>
      </c>
      <c r="J561" s="39">
        <f t="shared" si="104"/>
        <v>0</v>
      </c>
      <c r="K561" s="39">
        <f t="shared" si="104"/>
        <v>0</v>
      </c>
      <c r="L561" s="39">
        <f t="shared" si="104"/>
        <v>0</v>
      </c>
      <c r="M561" s="39">
        <f t="shared" si="104"/>
        <v>0</v>
      </c>
      <c r="N561" s="39">
        <f t="shared" si="104"/>
        <v>0</v>
      </c>
    </row>
    <row r="562" spans="1:15" ht="15.75" thickBot="1" x14ac:dyDescent="0.3">
      <c r="C562" s="6" t="s">
        <v>267</v>
      </c>
    </row>
    <row r="563" spans="1:15" ht="15.75" thickBot="1" x14ac:dyDescent="0.3">
      <c r="A563" s="9" t="s">
        <v>0</v>
      </c>
      <c r="B563" s="3" t="s">
        <v>1</v>
      </c>
      <c r="C563" s="3" t="s">
        <v>2</v>
      </c>
      <c r="D563" s="35" t="s">
        <v>3</v>
      </c>
      <c r="E563" s="35" t="s">
        <v>4</v>
      </c>
      <c r="F563" s="35" t="s">
        <v>5</v>
      </c>
      <c r="G563" s="35" t="s">
        <v>6</v>
      </c>
      <c r="H563" s="35" t="s">
        <v>5</v>
      </c>
      <c r="I563" s="35" t="s">
        <v>7</v>
      </c>
      <c r="J563" s="35" t="s">
        <v>8</v>
      </c>
      <c r="K563" s="35" t="s">
        <v>8</v>
      </c>
      <c r="L563" s="35" t="s">
        <v>9</v>
      </c>
      <c r="M563" s="35" t="s">
        <v>467</v>
      </c>
      <c r="N563" s="12" t="s">
        <v>10</v>
      </c>
    </row>
    <row r="564" spans="1:15" x14ac:dyDescent="0.25">
      <c r="A564" s="10">
        <v>1</v>
      </c>
      <c r="B564" s="1" t="s">
        <v>108</v>
      </c>
      <c r="C564" s="2" t="s">
        <v>117</v>
      </c>
      <c r="D564" s="41">
        <v>34408</v>
      </c>
      <c r="E564" s="38">
        <v>0</v>
      </c>
      <c r="F564" s="13">
        <f t="shared" ref="F564:F575" si="105">+D564/31*E564</f>
        <v>0</v>
      </c>
      <c r="G564" s="13">
        <v>0</v>
      </c>
      <c r="H564" s="13">
        <f t="shared" ref="H564:H575" si="106">+D564/248*G564</f>
        <v>0</v>
      </c>
      <c r="I564" s="13">
        <f t="shared" ref="I564:I575" si="107">+F564+H564</f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f t="shared" ref="N564:N575" si="108">+J564-K564-L564-M564</f>
        <v>0</v>
      </c>
      <c r="O564" t="s">
        <v>454</v>
      </c>
    </row>
    <row r="565" spans="1:15" x14ac:dyDescent="0.25">
      <c r="A565" s="10">
        <v>2</v>
      </c>
      <c r="B565" s="1" t="s">
        <v>444</v>
      </c>
      <c r="C565" s="2" t="s">
        <v>117</v>
      </c>
      <c r="D565" s="41">
        <v>31270</v>
      </c>
      <c r="E565" s="38">
        <v>0</v>
      </c>
      <c r="F565" s="13">
        <f t="shared" si="105"/>
        <v>0</v>
      </c>
      <c r="G565" s="13">
        <v>0</v>
      </c>
      <c r="H565" s="13">
        <f t="shared" si="106"/>
        <v>0</v>
      </c>
      <c r="I565" s="13">
        <f t="shared" si="107"/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f t="shared" si="108"/>
        <v>0</v>
      </c>
      <c r="O565" t="s">
        <v>454</v>
      </c>
    </row>
    <row r="566" spans="1:15" x14ac:dyDescent="0.25">
      <c r="A566" s="10">
        <v>3</v>
      </c>
      <c r="B566" s="1" t="s">
        <v>203</v>
      </c>
      <c r="C566" s="2" t="s">
        <v>112</v>
      </c>
      <c r="D566" s="13">
        <v>25000</v>
      </c>
      <c r="E566" s="38">
        <v>0</v>
      </c>
      <c r="F566" s="13">
        <f t="shared" si="105"/>
        <v>0</v>
      </c>
      <c r="G566" s="13">
        <v>0</v>
      </c>
      <c r="H566" s="13">
        <f t="shared" si="106"/>
        <v>0</v>
      </c>
      <c r="I566" s="13">
        <f t="shared" si="107"/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f t="shared" si="108"/>
        <v>0</v>
      </c>
      <c r="O566" t="s">
        <v>454</v>
      </c>
    </row>
    <row r="567" spans="1:15" x14ac:dyDescent="0.25">
      <c r="A567" s="10">
        <v>4</v>
      </c>
      <c r="B567" s="1" t="s">
        <v>328</v>
      </c>
      <c r="C567" s="2" t="s">
        <v>112</v>
      </c>
      <c r="D567" s="13">
        <v>25000</v>
      </c>
      <c r="E567" s="38">
        <v>0</v>
      </c>
      <c r="F567" s="13">
        <f t="shared" si="105"/>
        <v>0</v>
      </c>
      <c r="G567" s="13">
        <v>0</v>
      </c>
      <c r="H567" s="13">
        <f t="shared" si="106"/>
        <v>0</v>
      </c>
      <c r="I567" s="13">
        <f t="shared" si="107"/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f t="shared" si="108"/>
        <v>0</v>
      </c>
      <c r="O567" t="s">
        <v>454</v>
      </c>
    </row>
    <row r="568" spans="1:15" x14ac:dyDescent="0.25">
      <c r="A568" s="10">
        <v>5</v>
      </c>
      <c r="B568" s="1" t="s">
        <v>367</v>
      </c>
      <c r="C568" s="2" t="s">
        <v>112</v>
      </c>
      <c r="D568" s="13">
        <v>25000</v>
      </c>
      <c r="E568" s="38">
        <v>0</v>
      </c>
      <c r="F568" s="13">
        <f t="shared" si="105"/>
        <v>0</v>
      </c>
      <c r="G568" s="13">
        <v>0</v>
      </c>
      <c r="H568" s="13">
        <f t="shared" si="106"/>
        <v>0</v>
      </c>
      <c r="I568" s="13">
        <f t="shared" si="107"/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f t="shared" si="108"/>
        <v>0</v>
      </c>
      <c r="O568" t="s">
        <v>454</v>
      </c>
    </row>
    <row r="569" spans="1:15" x14ac:dyDescent="0.25">
      <c r="A569" s="10">
        <v>6</v>
      </c>
      <c r="B569" s="1" t="s">
        <v>368</v>
      </c>
      <c r="C569" s="2" t="s">
        <v>112</v>
      </c>
      <c r="D569" s="13">
        <v>25000</v>
      </c>
      <c r="E569" s="38">
        <v>0</v>
      </c>
      <c r="F569" s="13">
        <f t="shared" si="105"/>
        <v>0</v>
      </c>
      <c r="G569" s="13">
        <v>0</v>
      </c>
      <c r="H569" s="13">
        <f t="shared" si="106"/>
        <v>0</v>
      </c>
      <c r="I569" s="13">
        <f t="shared" si="107"/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f t="shared" si="108"/>
        <v>0</v>
      </c>
      <c r="O569" t="s">
        <v>454</v>
      </c>
    </row>
    <row r="570" spans="1:15" x14ac:dyDescent="0.25">
      <c r="A570" s="10">
        <v>7</v>
      </c>
      <c r="B570" s="1" t="s">
        <v>68</v>
      </c>
      <c r="C570" s="2" t="s">
        <v>112</v>
      </c>
      <c r="D570" s="13">
        <v>25000</v>
      </c>
      <c r="E570" s="38">
        <v>0</v>
      </c>
      <c r="F570" s="13">
        <f t="shared" si="105"/>
        <v>0</v>
      </c>
      <c r="G570" s="13">
        <v>0</v>
      </c>
      <c r="H570" s="13">
        <f t="shared" si="106"/>
        <v>0</v>
      </c>
      <c r="I570" s="13">
        <f t="shared" si="107"/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f t="shared" si="108"/>
        <v>0</v>
      </c>
      <c r="O570" t="s">
        <v>454</v>
      </c>
    </row>
    <row r="571" spans="1:15" x14ac:dyDescent="0.25">
      <c r="A571" s="10">
        <v>8</v>
      </c>
      <c r="B571" s="1" t="s">
        <v>287</v>
      </c>
      <c r="C571" s="2" t="s">
        <v>112</v>
      </c>
      <c r="D571" s="13">
        <v>25000</v>
      </c>
      <c r="E571" s="38">
        <v>0</v>
      </c>
      <c r="F571" s="13">
        <f t="shared" si="105"/>
        <v>0</v>
      </c>
      <c r="G571" s="13">
        <v>0</v>
      </c>
      <c r="H571" s="13">
        <f t="shared" si="106"/>
        <v>0</v>
      </c>
      <c r="I571" s="13">
        <f t="shared" si="107"/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f t="shared" si="108"/>
        <v>0</v>
      </c>
      <c r="O571" t="s">
        <v>454</v>
      </c>
    </row>
    <row r="572" spans="1:15" x14ac:dyDescent="0.25">
      <c r="A572" s="10">
        <v>9</v>
      </c>
      <c r="B572" s="1" t="s">
        <v>399</v>
      </c>
      <c r="C572" s="2" t="s">
        <v>112</v>
      </c>
      <c r="D572" s="13">
        <v>25000</v>
      </c>
      <c r="E572" s="38">
        <v>0</v>
      </c>
      <c r="F572" s="13">
        <f t="shared" si="105"/>
        <v>0</v>
      </c>
      <c r="G572" s="13">
        <v>0</v>
      </c>
      <c r="H572" s="13">
        <f t="shared" si="106"/>
        <v>0</v>
      </c>
      <c r="I572" s="13">
        <f t="shared" si="107"/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f t="shared" si="108"/>
        <v>0</v>
      </c>
      <c r="O572" t="s">
        <v>454</v>
      </c>
    </row>
    <row r="573" spans="1:15" x14ac:dyDescent="0.25">
      <c r="A573" s="10">
        <v>10</v>
      </c>
      <c r="B573" s="1" t="s">
        <v>398</v>
      </c>
      <c r="C573" s="2" t="s">
        <v>112</v>
      </c>
      <c r="D573" s="13">
        <v>25000</v>
      </c>
      <c r="E573" s="38">
        <v>0</v>
      </c>
      <c r="F573" s="13">
        <f t="shared" si="105"/>
        <v>0</v>
      </c>
      <c r="G573" s="13">
        <v>0</v>
      </c>
      <c r="H573" s="13">
        <f t="shared" si="106"/>
        <v>0</v>
      </c>
      <c r="I573" s="13">
        <f t="shared" si="107"/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f t="shared" si="108"/>
        <v>0</v>
      </c>
      <c r="O573" t="s">
        <v>454</v>
      </c>
    </row>
    <row r="574" spans="1:15" x14ac:dyDescent="0.25">
      <c r="A574" s="10">
        <v>11</v>
      </c>
      <c r="B574" s="1" t="s">
        <v>105</v>
      </c>
      <c r="C574" s="2" t="s">
        <v>112</v>
      </c>
      <c r="D574" s="13">
        <v>25000</v>
      </c>
      <c r="E574" s="38">
        <v>0</v>
      </c>
      <c r="F574" s="13">
        <f t="shared" si="105"/>
        <v>0</v>
      </c>
      <c r="G574" s="13">
        <v>0</v>
      </c>
      <c r="H574" s="13">
        <f t="shared" si="106"/>
        <v>0</v>
      </c>
      <c r="I574" s="13">
        <f t="shared" si="107"/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f t="shared" si="108"/>
        <v>0</v>
      </c>
      <c r="O574" t="s">
        <v>454</v>
      </c>
    </row>
    <row r="575" spans="1:15" ht="15.75" thickBot="1" x14ac:dyDescent="0.3">
      <c r="A575" s="10">
        <v>12</v>
      </c>
      <c r="B575" s="1" t="s">
        <v>357</v>
      </c>
      <c r="C575" s="2" t="s">
        <v>112</v>
      </c>
      <c r="D575" s="13">
        <v>25000</v>
      </c>
      <c r="E575" s="38">
        <v>0</v>
      </c>
      <c r="F575" s="13">
        <f t="shared" si="105"/>
        <v>0</v>
      </c>
      <c r="G575" s="13">
        <v>0</v>
      </c>
      <c r="H575" s="13">
        <f t="shared" si="106"/>
        <v>0</v>
      </c>
      <c r="I575" s="13">
        <f t="shared" si="107"/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f t="shared" si="108"/>
        <v>0</v>
      </c>
      <c r="O575" t="s">
        <v>454</v>
      </c>
    </row>
    <row r="576" spans="1:15" ht="15.75" thickBot="1" x14ac:dyDescent="0.3">
      <c r="A576" s="9"/>
      <c r="B576" s="3" t="s">
        <v>11</v>
      </c>
      <c r="C576" s="3"/>
      <c r="D576" s="39">
        <f>SUM(D564:D575)</f>
        <v>315678</v>
      </c>
      <c r="E576" s="39">
        <f t="shared" ref="E576:N576" si="109">SUM(E564:E575)</f>
        <v>0</v>
      </c>
      <c r="F576" s="39">
        <f t="shared" si="109"/>
        <v>0</v>
      </c>
      <c r="G576" s="39">
        <f t="shared" si="109"/>
        <v>0</v>
      </c>
      <c r="H576" s="39">
        <f t="shared" si="109"/>
        <v>0</v>
      </c>
      <c r="I576" s="39">
        <f t="shared" si="109"/>
        <v>0</v>
      </c>
      <c r="J576" s="39">
        <f t="shared" si="109"/>
        <v>0</v>
      </c>
      <c r="K576" s="39">
        <f t="shared" si="109"/>
        <v>0</v>
      </c>
      <c r="L576" s="39">
        <f t="shared" si="109"/>
        <v>0</v>
      </c>
      <c r="M576" s="39">
        <f t="shared" si="109"/>
        <v>0</v>
      </c>
      <c r="N576" s="39">
        <f t="shared" si="109"/>
        <v>0</v>
      </c>
    </row>
    <row r="577" spans="1:15" x14ac:dyDescent="0.25">
      <c r="M577" s="49">
        <f>+N561+N576</f>
        <v>0</v>
      </c>
      <c r="N577" s="49"/>
    </row>
    <row r="579" spans="1:15" ht="15.75" thickBot="1" x14ac:dyDescent="0.3">
      <c r="C579" s="6" t="s">
        <v>268</v>
      </c>
    </row>
    <row r="580" spans="1:15" ht="15.75" thickBot="1" x14ac:dyDescent="0.3">
      <c r="A580" s="9" t="s">
        <v>0</v>
      </c>
      <c r="B580" s="3" t="s">
        <v>1</v>
      </c>
      <c r="C580" s="3" t="s">
        <v>2</v>
      </c>
      <c r="D580" s="35" t="s">
        <v>3</v>
      </c>
      <c r="E580" s="35" t="s">
        <v>4</v>
      </c>
      <c r="F580" s="35" t="s">
        <v>5</v>
      </c>
      <c r="G580" s="35" t="s">
        <v>6</v>
      </c>
      <c r="H580" s="35" t="s">
        <v>5</v>
      </c>
      <c r="I580" s="35" t="s">
        <v>7</v>
      </c>
      <c r="J580" s="35" t="s">
        <v>8</v>
      </c>
      <c r="K580" s="35" t="s">
        <v>8</v>
      </c>
      <c r="L580" s="35" t="s">
        <v>9</v>
      </c>
      <c r="M580" s="35" t="s">
        <v>467</v>
      </c>
      <c r="N580" s="12" t="s">
        <v>10</v>
      </c>
    </row>
    <row r="581" spans="1:15" x14ac:dyDescent="0.25">
      <c r="A581" s="10">
        <v>0</v>
      </c>
      <c r="B581" s="2" t="s">
        <v>292</v>
      </c>
      <c r="C581" s="2" t="s">
        <v>219</v>
      </c>
      <c r="D581" s="13">
        <v>60500</v>
      </c>
      <c r="E581" s="38">
        <v>0</v>
      </c>
      <c r="F581" s="13">
        <f t="shared" ref="F581:F591" si="110">+D581/31*E581</f>
        <v>0</v>
      </c>
      <c r="G581" s="13">
        <v>0</v>
      </c>
      <c r="H581" s="13">
        <f t="shared" ref="H581:H591" si="111">+D581/248*G581</f>
        <v>0</v>
      </c>
      <c r="I581" s="13">
        <f t="shared" ref="I581:I591" si="112">+F581+H581</f>
        <v>0</v>
      </c>
      <c r="J581" s="13">
        <v>0</v>
      </c>
      <c r="K581" s="13">
        <v>0</v>
      </c>
      <c r="L581" s="13">
        <v>0</v>
      </c>
      <c r="M581" s="13">
        <v>0</v>
      </c>
      <c r="N581" s="13">
        <f t="shared" ref="N581:N591" si="113">+J581-K581-L581-M581</f>
        <v>0</v>
      </c>
      <c r="O581" t="s">
        <v>464</v>
      </c>
    </row>
    <row r="582" spans="1:15" x14ac:dyDescent="0.25">
      <c r="A582" s="10">
        <v>1</v>
      </c>
      <c r="B582" s="2" t="s">
        <v>292</v>
      </c>
      <c r="C582" s="2" t="s">
        <v>220</v>
      </c>
      <c r="D582" s="13">
        <v>300000</v>
      </c>
      <c r="E582" s="38">
        <v>0</v>
      </c>
      <c r="F582" s="13">
        <f t="shared" si="110"/>
        <v>0</v>
      </c>
      <c r="G582" s="13">
        <v>0</v>
      </c>
      <c r="H582" s="13">
        <f t="shared" si="111"/>
        <v>0</v>
      </c>
      <c r="I582" s="13">
        <f t="shared" si="112"/>
        <v>0</v>
      </c>
      <c r="J582" s="13">
        <v>0</v>
      </c>
      <c r="K582" s="13">
        <v>0</v>
      </c>
      <c r="L582" s="13">
        <v>0</v>
      </c>
      <c r="M582" s="13">
        <v>0</v>
      </c>
      <c r="N582" s="13">
        <f t="shared" si="113"/>
        <v>0</v>
      </c>
      <c r="O582" t="s">
        <v>461</v>
      </c>
    </row>
    <row r="583" spans="1:15" x14ac:dyDescent="0.25">
      <c r="A583" s="10">
        <v>2</v>
      </c>
      <c r="B583" s="1" t="s">
        <v>293</v>
      </c>
      <c r="C583" s="1" t="s">
        <v>114</v>
      </c>
      <c r="D583" s="37">
        <v>130000</v>
      </c>
      <c r="E583" s="38">
        <v>0</v>
      </c>
      <c r="F583" s="13">
        <f t="shared" si="110"/>
        <v>0</v>
      </c>
      <c r="G583" s="13">
        <v>0</v>
      </c>
      <c r="H583" s="13">
        <f t="shared" si="111"/>
        <v>0</v>
      </c>
      <c r="I583" s="13">
        <f t="shared" si="112"/>
        <v>0</v>
      </c>
      <c r="J583" s="13">
        <v>0</v>
      </c>
      <c r="K583" s="13">
        <v>0</v>
      </c>
      <c r="L583" s="13">
        <v>0</v>
      </c>
      <c r="M583" s="13">
        <v>0</v>
      </c>
      <c r="N583" s="13">
        <f t="shared" si="113"/>
        <v>0</v>
      </c>
      <c r="O583" t="s">
        <v>461</v>
      </c>
    </row>
    <row r="584" spans="1:15" x14ac:dyDescent="0.25">
      <c r="A584" s="10">
        <v>3</v>
      </c>
      <c r="B584" s="1" t="s">
        <v>42</v>
      </c>
      <c r="C584" s="1" t="s">
        <v>224</v>
      </c>
      <c r="D584" s="37">
        <v>90000</v>
      </c>
      <c r="E584" s="38">
        <v>0</v>
      </c>
      <c r="F584" s="13">
        <f t="shared" si="110"/>
        <v>0</v>
      </c>
      <c r="G584" s="13">
        <v>0</v>
      </c>
      <c r="H584" s="13">
        <f t="shared" si="111"/>
        <v>0</v>
      </c>
      <c r="I584" s="13">
        <f t="shared" si="112"/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f t="shared" si="113"/>
        <v>0</v>
      </c>
      <c r="O584" t="s">
        <v>463</v>
      </c>
    </row>
    <row r="585" spans="1:15" x14ac:dyDescent="0.25">
      <c r="A585" s="10">
        <v>4</v>
      </c>
      <c r="B585" s="1" t="s">
        <v>226</v>
      </c>
      <c r="C585" s="1" t="s">
        <v>224</v>
      </c>
      <c r="D585" s="37">
        <v>90000</v>
      </c>
      <c r="E585" s="38">
        <v>0</v>
      </c>
      <c r="F585" s="13">
        <f t="shared" si="110"/>
        <v>0</v>
      </c>
      <c r="G585" s="13">
        <v>0</v>
      </c>
      <c r="H585" s="13">
        <f t="shared" si="111"/>
        <v>0</v>
      </c>
      <c r="I585" s="13">
        <f t="shared" si="112"/>
        <v>0</v>
      </c>
      <c r="J585" s="13">
        <v>0</v>
      </c>
      <c r="K585" s="13">
        <v>0</v>
      </c>
      <c r="L585" s="13">
        <v>0</v>
      </c>
      <c r="M585" s="13">
        <v>0</v>
      </c>
      <c r="N585" s="13">
        <f t="shared" si="113"/>
        <v>0</v>
      </c>
      <c r="O585" t="s">
        <v>463</v>
      </c>
    </row>
    <row r="586" spans="1:15" x14ac:dyDescent="0.25">
      <c r="A586" s="10">
        <v>5</v>
      </c>
      <c r="B586" s="1" t="s">
        <v>294</v>
      </c>
      <c r="C586" s="1" t="s">
        <v>224</v>
      </c>
      <c r="D586" s="37">
        <v>90000</v>
      </c>
      <c r="E586" s="38">
        <v>0</v>
      </c>
      <c r="F586" s="13">
        <f t="shared" si="110"/>
        <v>0</v>
      </c>
      <c r="G586" s="13">
        <v>0</v>
      </c>
      <c r="H586" s="13">
        <f t="shared" si="111"/>
        <v>0</v>
      </c>
      <c r="I586" s="13">
        <f t="shared" si="112"/>
        <v>0</v>
      </c>
      <c r="J586" s="13">
        <v>0</v>
      </c>
      <c r="K586" s="13">
        <v>0</v>
      </c>
      <c r="L586" s="13">
        <v>0</v>
      </c>
      <c r="M586" s="13">
        <v>0</v>
      </c>
      <c r="N586" s="13">
        <f t="shared" si="113"/>
        <v>0</v>
      </c>
      <c r="O586" t="s">
        <v>463</v>
      </c>
    </row>
    <row r="587" spans="1:15" x14ac:dyDescent="0.25">
      <c r="A587" s="10">
        <v>6</v>
      </c>
      <c r="B587" s="1" t="s">
        <v>341</v>
      </c>
      <c r="C587" s="1" t="s">
        <v>224</v>
      </c>
      <c r="D587" s="37">
        <v>90000</v>
      </c>
      <c r="E587" s="38">
        <v>0</v>
      </c>
      <c r="F587" s="13">
        <f t="shared" si="110"/>
        <v>0</v>
      </c>
      <c r="G587" s="13">
        <v>0</v>
      </c>
      <c r="H587" s="13">
        <f t="shared" si="111"/>
        <v>0</v>
      </c>
      <c r="I587" s="13">
        <f t="shared" si="112"/>
        <v>0</v>
      </c>
      <c r="J587" s="13">
        <v>0</v>
      </c>
      <c r="K587" s="13">
        <v>0</v>
      </c>
      <c r="L587" s="13">
        <v>0</v>
      </c>
      <c r="M587" s="13">
        <v>0</v>
      </c>
      <c r="N587" s="13">
        <f t="shared" si="113"/>
        <v>0</v>
      </c>
      <c r="O587" t="s">
        <v>463</v>
      </c>
    </row>
    <row r="588" spans="1:15" x14ac:dyDescent="0.25">
      <c r="A588" s="10">
        <v>7</v>
      </c>
      <c r="B588" s="1" t="s">
        <v>225</v>
      </c>
      <c r="C588" s="1" t="s">
        <v>221</v>
      </c>
      <c r="D588" s="37">
        <v>145200</v>
      </c>
      <c r="E588" s="38">
        <v>0</v>
      </c>
      <c r="F588" s="13">
        <f t="shared" si="110"/>
        <v>0</v>
      </c>
      <c r="G588" s="13">
        <v>0</v>
      </c>
      <c r="H588" s="13">
        <f t="shared" si="111"/>
        <v>0</v>
      </c>
      <c r="I588" s="13">
        <f t="shared" si="112"/>
        <v>0</v>
      </c>
      <c r="J588" s="13">
        <v>0</v>
      </c>
      <c r="K588" s="13">
        <v>0</v>
      </c>
      <c r="L588" s="13">
        <v>0</v>
      </c>
      <c r="M588" s="13">
        <v>0</v>
      </c>
      <c r="N588" s="13">
        <f t="shared" si="113"/>
        <v>0</v>
      </c>
      <c r="O588" t="s">
        <v>460</v>
      </c>
    </row>
    <row r="589" spans="1:15" x14ac:dyDescent="0.25">
      <c r="A589" s="10">
        <v>8</v>
      </c>
      <c r="B589" s="1" t="s">
        <v>296</v>
      </c>
      <c r="C589" s="1" t="s">
        <v>140</v>
      </c>
      <c r="D589" s="37">
        <v>90000</v>
      </c>
      <c r="E589" s="38">
        <v>0</v>
      </c>
      <c r="F589" s="13">
        <f t="shared" si="110"/>
        <v>0</v>
      </c>
      <c r="G589" s="13">
        <v>0</v>
      </c>
      <c r="H589" s="13">
        <f t="shared" si="111"/>
        <v>0</v>
      </c>
      <c r="I589" s="13">
        <f t="shared" si="112"/>
        <v>0</v>
      </c>
      <c r="J589" s="13">
        <v>0</v>
      </c>
      <c r="K589" s="13">
        <v>0</v>
      </c>
      <c r="L589" s="13">
        <v>0</v>
      </c>
      <c r="M589" s="13">
        <v>0</v>
      </c>
      <c r="N589" s="13">
        <f t="shared" si="113"/>
        <v>0</v>
      </c>
      <c r="O589" t="s">
        <v>462</v>
      </c>
    </row>
    <row r="590" spans="1:15" x14ac:dyDescent="0.25">
      <c r="A590" s="10">
        <v>9</v>
      </c>
      <c r="B590" s="1" t="s">
        <v>302</v>
      </c>
      <c r="C590" s="1" t="s">
        <v>140</v>
      </c>
      <c r="D590" s="37">
        <v>90000</v>
      </c>
      <c r="E590" s="38">
        <v>0</v>
      </c>
      <c r="F590" s="13">
        <f t="shared" si="110"/>
        <v>0</v>
      </c>
      <c r="G590" s="13">
        <v>0</v>
      </c>
      <c r="H590" s="13">
        <f t="shared" si="111"/>
        <v>0</v>
      </c>
      <c r="I590" s="13">
        <f t="shared" si="112"/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f t="shared" si="113"/>
        <v>0</v>
      </c>
      <c r="O590" t="s">
        <v>462</v>
      </c>
    </row>
    <row r="591" spans="1:15" ht="15.75" thickBot="1" x14ac:dyDescent="0.3">
      <c r="A591" s="10">
        <v>10</v>
      </c>
      <c r="B591" s="1" t="s">
        <v>334</v>
      </c>
      <c r="C591" s="1" t="s">
        <v>140</v>
      </c>
      <c r="D591" s="37">
        <v>110000</v>
      </c>
      <c r="E591" s="38">
        <v>0</v>
      </c>
      <c r="F591" s="13">
        <f t="shared" si="110"/>
        <v>0</v>
      </c>
      <c r="G591" s="13">
        <v>0</v>
      </c>
      <c r="H591" s="13">
        <f t="shared" si="111"/>
        <v>0</v>
      </c>
      <c r="I591" s="13">
        <f t="shared" si="112"/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f t="shared" si="113"/>
        <v>0</v>
      </c>
      <c r="O591" t="s">
        <v>462</v>
      </c>
    </row>
    <row r="592" spans="1:15" ht="15.75" thickBot="1" x14ac:dyDescent="0.3">
      <c r="A592" s="9"/>
      <c r="B592" s="3" t="s">
        <v>11</v>
      </c>
      <c r="C592" s="3"/>
      <c r="D592" s="39">
        <f>SUM(D581:D591)</f>
        <v>1285700</v>
      </c>
      <c r="E592" s="39">
        <f t="shared" ref="E592:N592" si="114">SUM(E581:E591)</f>
        <v>0</v>
      </c>
      <c r="F592" s="39">
        <f t="shared" si="114"/>
        <v>0</v>
      </c>
      <c r="G592" s="39">
        <f t="shared" si="114"/>
        <v>0</v>
      </c>
      <c r="H592" s="39">
        <f t="shared" si="114"/>
        <v>0</v>
      </c>
      <c r="I592" s="39">
        <f t="shared" si="114"/>
        <v>0</v>
      </c>
      <c r="J592" s="39">
        <f t="shared" si="114"/>
        <v>0</v>
      </c>
      <c r="K592" s="39">
        <f t="shared" si="114"/>
        <v>0</v>
      </c>
      <c r="L592" s="39">
        <f t="shared" si="114"/>
        <v>0</v>
      </c>
      <c r="M592" s="39">
        <f t="shared" si="114"/>
        <v>0</v>
      </c>
      <c r="N592" s="39">
        <f t="shared" si="114"/>
        <v>0</v>
      </c>
    </row>
    <row r="594" spans="1:15" ht="15.75" thickBot="1" x14ac:dyDescent="0.3">
      <c r="C594" s="6" t="s">
        <v>268</v>
      </c>
    </row>
    <row r="595" spans="1:15" ht="15.75" thickBot="1" x14ac:dyDescent="0.3">
      <c r="A595" s="9" t="s">
        <v>0</v>
      </c>
      <c r="B595" s="3" t="s">
        <v>1</v>
      </c>
      <c r="C595" s="3" t="s">
        <v>2</v>
      </c>
      <c r="D595" s="35" t="s">
        <v>3</v>
      </c>
      <c r="E595" s="35" t="s">
        <v>4</v>
      </c>
      <c r="F595" s="35" t="s">
        <v>5</v>
      </c>
      <c r="G595" s="35" t="s">
        <v>6</v>
      </c>
      <c r="H595" s="35" t="s">
        <v>5</v>
      </c>
      <c r="I595" s="35" t="s">
        <v>7</v>
      </c>
      <c r="J595" s="35" t="s">
        <v>8</v>
      </c>
      <c r="K595" s="35" t="s">
        <v>8</v>
      </c>
      <c r="L595" s="35" t="s">
        <v>9</v>
      </c>
      <c r="M595" s="35" t="s">
        <v>467</v>
      </c>
      <c r="N595" s="12" t="s">
        <v>10</v>
      </c>
    </row>
    <row r="596" spans="1:15" x14ac:dyDescent="0.25">
      <c r="A596" s="11">
        <v>1</v>
      </c>
      <c r="B596" s="1" t="s">
        <v>227</v>
      </c>
      <c r="C596" s="2" t="s">
        <v>117</v>
      </c>
      <c r="D596" s="37">
        <v>60500</v>
      </c>
      <c r="E596" s="38">
        <v>0</v>
      </c>
      <c r="F596" s="13">
        <f t="shared" ref="F596:F611" si="115">+D596/31*E596</f>
        <v>0</v>
      </c>
      <c r="G596" s="13">
        <v>0</v>
      </c>
      <c r="H596" s="13">
        <f t="shared" ref="H596:H611" si="116">+D596/248*G596</f>
        <v>0</v>
      </c>
      <c r="I596" s="13">
        <f t="shared" ref="I596:I611" si="117">+F596+H596</f>
        <v>0</v>
      </c>
      <c r="J596" s="13">
        <v>0</v>
      </c>
      <c r="K596" s="13">
        <v>0</v>
      </c>
      <c r="L596" s="13">
        <v>0</v>
      </c>
      <c r="M596" s="13">
        <v>0</v>
      </c>
      <c r="N596" s="13">
        <f t="shared" ref="N596:N611" si="118">+J596-K596-L596-M596</f>
        <v>0</v>
      </c>
      <c r="O596" t="s">
        <v>450</v>
      </c>
    </row>
    <row r="597" spans="1:15" x14ac:dyDescent="0.25">
      <c r="A597" s="11">
        <v>2</v>
      </c>
      <c r="B597" s="1" t="s">
        <v>164</v>
      </c>
      <c r="C597" s="2" t="s">
        <v>117</v>
      </c>
      <c r="D597" s="37">
        <v>60500</v>
      </c>
      <c r="E597" s="38">
        <v>0</v>
      </c>
      <c r="F597" s="13">
        <f t="shared" si="115"/>
        <v>0</v>
      </c>
      <c r="G597" s="13">
        <v>0</v>
      </c>
      <c r="H597" s="13">
        <f t="shared" si="116"/>
        <v>0</v>
      </c>
      <c r="I597" s="13">
        <f t="shared" si="117"/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f t="shared" si="118"/>
        <v>0</v>
      </c>
      <c r="O597" t="s">
        <v>450</v>
      </c>
    </row>
    <row r="598" spans="1:15" x14ac:dyDescent="0.25">
      <c r="A598" s="11">
        <v>3</v>
      </c>
      <c r="B598" s="1" t="s">
        <v>228</v>
      </c>
      <c r="C598" s="2" t="s">
        <v>117</v>
      </c>
      <c r="D598" s="37">
        <v>60500</v>
      </c>
      <c r="E598" s="38">
        <v>0</v>
      </c>
      <c r="F598" s="13">
        <f t="shared" si="115"/>
        <v>0</v>
      </c>
      <c r="G598" s="13">
        <v>0</v>
      </c>
      <c r="H598" s="13">
        <f t="shared" si="116"/>
        <v>0</v>
      </c>
      <c r="I598" s="13">
        <f t="shared" si="117"/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f t="shared" si="118"/>
        <v>0</v>
      </c>
      <c r="O598" t="s">
        <v>450</v>
      </c>
    </row>
    <row r="599" spans="1:15" x14ac:dyDescent="0.25">
      <c r="A599" s="11">
        <v>4</v>
      </c>
      <c r="B599" s="1" t="s">
        <v>229</v>
      </c>
      <c r="C599" s="2" t="s">
        <v>117</v>
      </c>
      <c r="D599" s="37">
        <v>66000</v>
      </c>
      <c r="E599" s="38">
        <v>0</v>
      </c>
      <c r="F599" s="13">
        <f t="shared" si="115"/>
        <v>0</v>
      </c>
      <c r="G599" s="13">
        <v>0</v>
      </c>
      <c r="H599" s="13">
        <f t="shared" si="116"/>
        <v>0</v>
      </c>
      <c r="I599" s="13">
        <f t="shared" si="117"/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f t="shared" si="118"/>
        <v>0</v>
      </c>
      <c r="O599" t="s">
        <v>450</v>
      </c>
    </row>
    <row r="600" spans="1:15" x14ac:dyDescent="0.25">
      <c r="A600" s="11">
        <v>5</v>
      </c>
      <c r="B600" s="1" t="s">
        <v>230</v>
      </c>
      <c r="C600" s="2" t="s">
        <v>117</v>
      </c>
      <c r="D600" s="37">
        <v>55000</v>
      </c>
      <c r="E600" s="38">
        <v>0</v>
      </c>
      <c r="F600" s="13">
        <f t="shared" si="115"/>
        <v>0</v>
      </c>
      <c r="G600" s="13">
        <v>0</v>
      </c>
      <c r="H600" s="13">
        <f t="shared" si="116"/>
        <v>0</v>
      </c>
      <c r="I600" s="13">
        <f t="shared" si="117"/>
        <v>0</v>
      </c>
      <c r="J600" s="13">
        <v>0</v>
      </c>
      <c r="K600" s="13">
        <v>0</v>
      </c>
      <c r="L600" s="13">
        <v>0</v>
      </c>
      <c r="M600" s="13">
        <v>0</v>
      </c>
      <c r="N600" s="13">
        <f t="shared" si="118"/>
        <v>0</v>
      </c>
      <c r="O600" t="s">
        <v>450</v>
      </c>
    </row>
    <row r="601" spans="1:15" x14ac:dyDescent="0.25">
      <c r="A601" s="11">
        <v>6</v>
      </c>
      <c r="B601" s="1" t="s">
        <v>231</v>
      </c>
      <c r="C601" s="2" t="s">
        <v>117</v>
      </c>
      <c r="D601" s="37">
        <v>60500</v>
      </c>
      <c r="E601" s="38">
        <v>0</v>
      </c>
      <c r="F601" s="13">
        <f t="shared" si="115"/>
        <v>0</v>
      </c>
      <c r="G601" s="13">
        <v>0</v>
      </c>
      <c r="H601" s="13">
        <f t="shared" si="116"/>
        <v>0</v>
      </c>
      <c r="I601" s="13">
        <f t="shared" si="117"/>
        <v>0</v>
      </c>
      <c r="J601" s="13">
        <v>0</v>
      </c>
      <c r="K601" s="13">
        <v>0</v>
      </c>
      <c r="L601" s="13">
        <v>0</v>
      </c>
      <c r="M601" s="13">
        <v>0</v>
      </c>
      <c r="N601" s="13">
        <f t="shared" si="118"/>
        <v>0</v>
      </c>
      <c r="O601" t="s">
        <v>450</v>
      </c>
    </row>
    <row r="602" spans="1:15" x14ac:dyDescent="0.25">
      <c r="A602" s="11">
        <v>7</v>
      </c>
      <c r="B602" s="1" t="s">
        <v>275</v>
      </c>
      <c r="C602" s="2" t="s">
        <v>117</v>
      </c>
      <c r="D602" s="37">
        <v>55000</v>
      </c>
      <c r="E602" s="38">
        <v>0</v>
      </c>
      <c r="F602" s="13">
        <f t="shared" si="115"/>
        <v>0</v>
      </c>
      <c r="G602" s="13">
        <v>0</v>
      </c>
      <c r="H602" s="13">
        <f t="shared" si="116"/>
        <v>0</v>
      </c>
      <c r="I602" s="13">
        <f t="shared" si="117"/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f t="shared" si="118"/>
        <v>0</v>
      </c>
      <c r="O602" t="s">
        <v>450</v>
      </c>
    </row>
    <row r="603" spans="1:15" x14ac:dyDescent="0.25">
      <c r="A603" s="11">
        <v>8</v>
      </c>
      <c r="B603" s="1" t="s">
        <v>74</v>
      </c>
      <c r="C603" s="2" t="s">
        <v>117</v>
      </c>
      <c r="D603" s="37">
        <v>55000</v>
      </c>
      <c r="E603" s="38">
        <v>0</v>
      </c>
      <c r="F603" s="13">
        <f t="shared" si="115"/>
        <v>0</v>
      </c>
      <c r="G603" s="13">
        <v>0</v>
      </c>
      <c r="H603" s="13">
        <f t="shared" si="116"/>
        <v>0</v>
      </c>
      <c r="I603" s="13">
        <f t="shared" si="117"/>
        <v>0</v>
      </c>
      <c r="J603" s="13">
        <v>0</v>
      </c>
      <c r="K603" s="13">
        <v>0</v>
      </c>
      <c r="L603" s="13">
        <v>0</v>
      </c>
      <c r="M603" s="13">
        <v>0</v>
      </c>
      <c r="N603" s="13">
        <f t="shared" si="118"/>
        <v>0</v>
      </c>
      <c r="O603" t="s">
        <v>450</v>
      </c>
    </row>
    <row r="604" spans="1:15" x14ac:dyDescent="0.25">
      <c r="A604" s="11">
        <v>9</v>
      </c>
      <c r="B604" s="1" t="s">
        <v>194</v>
      </c>
      <c r="C604" s="2" t="s">
        <v>117</v>
      </c>
      <c r="D604" s="37">
        <v>55000</v>
      </c>
      <c r="E604" s="38">
        <v>0</v>
      </c>
      <c r="F604" s="13">
        <f t="shared" si="115"/>
        <v>0</v>
      </c>
      <c r="G604" s="13">
        <v>0</v>
      </c>
      <c r="H604" s="13">
        <f t="shared" si="116"/>
        <v>0</v>
      </c>
      <c r="I604" s="13">
        <f t="shared" si="117"/>
        <v>0</v>
      </c>
      <c r="J604" s="13">
        <v>0</v>
      </c>
      <c r="K604" s="13">
        <v>0</v>
      </c>
      <c r="L604" s="13">
        <v>0</v>
      </c>
      <c r="M604" s="13">
        <v>0</v>
      </c>
      <c r="N604" s="13">
        <f t="shared" si="118"/>
        <v>0</v>
      </c>
      <c r="O604" t="s">
        <v>450</v>
      </c>
    </row>
    <row r="605" spans="1:15" x14ac:dyDescent="0.25">
      <c r="A605" s="11">
        <v>10</v>
      </c>
      <c r="B605" s="1" t="s">
        <v>400</v>
      </c>
      <c r="C605" s="2" t="s">
        <v>117</v>
      </c>
      <c r="D605" s="37">
        <v>55000</v>
      </c>
      <c r="E605" s="38">
        <v>0</v>
      </c>
      <c r="F605" s="13">
        <f t="shared" si="115"/>
        <v>0</v>
      </c>
      <c r="G605" s="13">
        <v>0</v>
      </c>
      <c r="H605" s="13">
        <f t="shared" si="116"/>
        <v>0</v>
      </c>
      <c r="I605" s="13">
        <f t="shared" si="117"/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f t="shared" si="118"/>
        <v>0</v>
      </c>
      <c r="O605" t="s">
        <v>450</v>
      </c>
    </row>
    <row r="606" spans="1:15" x14ac:dyDescent="0.25">
      <c r="A606" s="11">
        <v>11</v>
      </c>
      <c r="B606" s="1" t="s">
        <v>234</v>
      </c>
      <c r="C606" s="2" t="s">
        <v>117</v>
      </c>
      <c r="D606" s="37">
        <v>55000</v>
      </c>
      <c r="E606" s="38">
        <v>0</v>
      </c>
      <c r="F606" s="13">
        <f t="shared" si="115"/>
        <v>0</v>
      </c>
      <c r="G606" s="13">
        <v>0</v>
      </c>
      <c r="H606" s="13">
        <f t="shared" si="116"/>
        <v>0</v>
      </c>
      <c r="I606" s="13">
        <f t="shared" si="117"/>
        <v>0</v>
      </c>
      <c r="J606" s="13">
        <v>0</v>
      </c>
      <c r="K606" s="13">
        <v>0</v>
      </c>
      <c r="L606" s="13">
        <v>0</v>
      </c>
      <c r="M606" s="13">
        <v>0</v>
      </c>
      <c r="N606" s="13">
        <f t="shared" si="118"/>
        <v>0</v>
      </c>
      <c r="O606" t="s">
        <v>450</v>
      </c>
    </row>
    <row r="607" spans="1:15" x14ac:dyDescent="0.25">
      <c r="A607" s="11">
        <v>12</v>
      </c>
      <c r="B607" s="1" t="s">
        <v>169</v>
      </c>
      <c r="C607" s="2" t="s">
        <v>117</v>
      </c>
      <c r="D607" s="37">
        <v>55000</v>
      </c>
      <c r="E607" s="38">
        <v>0</v>
      </c>
      <c r="F607" s="13">
        <f t="shared" si="115"/>
        <v>0</v>
      </c>
      <c r="G607" s="13">
        <v>0</v>
      </c>
      <c r="H607" s="13">
        <f t="shared" si="116"/>
        <v>0</v>
      </c>
      <c r="I607" s="13">
        <f t="shared" si="117"/>
        <v>0</v>
      </c>
      <c r="J607" s="13">
        <v>0</v>
      </c>
      <c r="K607" s="13">
        <v>0</v>
      </c>
      <c r="L607" s="13">
        <v>0</v>
      </c>
      <c r="M607" s="13">
        <v>0</v>
      </c>
      <c r="N607" s="13">
        <f t="shared" si="118"/>
        <v>0</v>
      </c>
      <c r="O607" t="s">
        <v>450</v>
      </c>
    </row>
    <row r="608" spans="1:15" x14ac:dyDescent="0.25">
      <c r="A608" s="11">
        <v>13</v>
      </c>
      <c r="B608" s="1" t="s">
        <v>233</v>
      </c>
      <c r="C608" s="2" t="s">
        <v>117</v>
      </c>
      <c r="D608" s="37">
        <v>60000</v>
      </c>
      <c r="E608" s="38">
        <v>0</v>
      </c>
      <c r="F608" s="13">
        <f t="shared" si="115"/>
        <v>0</v>
      </c>
      <c r="G608" s="13">
        <v>0</v>
      </c>
      <c r="H608" s="13">
        <f t="shared" si="116"/>
        <v>0</v>
      </c>
      <c r="I608" s="13">
        <f t="shared" si="117"/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f t="shared" si="118"/>
        <v>0</v>
      </c>
      <c r="O608" t="s">
        <v>450</v>
      </c>
    </row>
    <row r="609" spans="1:15" x14ac:dyDescent="0.25">
      <c r="A609" s="11">
        <v>14</v>
      </c>
      <c r="B609" s="1" t="s">
        <v>303</v>
      </c>
      <c r="C609" s="2" t="s">
        <v>117</v>
      </c>
      <c r="D609" s="41">
        <v>60000</v>
      </c>
      <c r="E609" s="38">
        <v>0</v>
      </c>
      <c r="F609" s="13">
        <f t="shared" si="115"/>
        <v>0</v>
      </c>
      <c r="G609" s="13">
        <v>0</v>
      </c>
      <c r="H609" s="13">
        <f t="shared" si="116"/>
        <v>0</v>
      </c>
      <c r="I609" s="13">
        <f t="shared" si="117"/>
        <v>0</v>
      </c>
      <c r="J609" s="13">
        <v>0</v>
      </c>
      <c r="K609" s="13">
        <v>0</v>
      </c>
      <c r="L609" s="13">
        <v>0</v>
      </c>
      <c r="M609" s="13">
        <v>0</v>
      </c>
      <c r="N609" s="13">
        <f t="shared" si="118"/>
        <v>0</v>
      </c>
      <c r="O609" t="s">
        <v>450</v>
      </c>
    </row>
    <row r="610" spans="1:15" x14ac:dyDescent="0.25">
      <c r="A610" s="11">
        <v>15</v>
      </c>
      <c r="B610" s="1" t="s">
        <v>49</v>
      </c>
      <c r="C610" s="2" t="s">
        <v>117</v>
      </c>
      <c r="D610" s="41">
        <v>60000</v>
      </c>
      <c r="E610" s="38">
        <v>0</v>
      </c>
      <c r="F610" s="13">
        <f t="shared" si="115"/>
        <v>0</v>
      </c>
      <c r="G610" s="13">
        <v>0</v>
      </c>
      <c r="H610" s="13">
        <f t="shared" si="116"/>
        <v>0</v>
      </c>
      <c r="I610" s="13">
        <f t="shared" si="117"/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f t="shared" si="118"/>
        <v>0</v>
      </c>
      <c r="O610" t="s">
        <v>450</v>
      </c>
    </row>
    <row r="611" spans="1:15" ht="15.75" thickBot="1" x14ac:dyDescent="0.3">
      <c r="A611" s="11">
        <v>16</v>
      </c>
      <c r="B611" s="1" t="s">
        <v>401</v>
      </c>
      <c r="C611" s="2" t="s">
        <v>117</v>
      </c>
      <c r="D611" s="41">
        <v>60000</v>
      </c>
      <c r="E611" s="38">
        <v>0</v>
      </c>
      <c r="F611" s="13">
        <f t="shared" si="115"/>
        <v>0</v>
      </c>
      <c r="G611" s="13">
        <v>0</v>
      </c>
      <c r="H611" s="13">
        <f t="shared" si="116"/>
        <v>0</v>
      </c>
      <c r="I611" s="13">
        <f t="shared" si="117"/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f t="shared" si="118"/>
        <v>0</v>
      </c>
      <c r="O611" t="s">
        <v>450</v>
      </c>
    </row>
    <row r="612" spans="1:15" ht="15.75" thickBot="1" x14ac:dyDescent="0.3">
      <c r="A612" s="9"/>
      <c r="B612" s="3" t="s">
        <v>11</v>
      </c>
      <c r="C612" s="3"/>
      <c r="D612" s="39">
        <f>SUM(D596:D611)</f>
        <v>933000</v>
      </c>
      <c r="E612" s="39">
        <f t="shared" ref="E612:N612" si="119">SUM(E596:E611)</f>
        <v>0</v>
      </c>
      <c r="F612" s="39">
        <f t="shared" si="119"/>
        <v>0</v>
      </c>
      <c r="G612" s="39">
        <f t="shared" si="119"/>
        <v>0</v>
      </c>
      <c r="H612" s="39">
        <f t="shared" si="119"/>
        <v>0</v>
      </c>
      <c r="I612" s="39">
        <f t="shared" si="119"/>
        <v>0</v>
      </c>
      <c r="J612" s="39">
        <f t="shared" si="119"/>
        <v>0</v>
      </c>
      <c r="K612" s="39">
        <f t="shared" si="119"/>
        <v>0</v>
      </c>
      <c r="L612" s="39">
        <f t="shared" si="119"/>
        <v>0</v>
      </c>
      <c r="M612" s="39">
        <f t="shared" si="119"/>
        <v>0</v>
      </c>
      <c r="N612" s="39">
        <f t="shared" si="119"/>
        <v>0</v>
      </c>
    </row>
    <row r="613" spans="1:15" x14ac:dyDescent="0.25">
      <c r="A613" s="21"/>
      <c r="B613" s="22"/>
      <c r="C613" s="22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</row>
    <row r="614" spans="1:15" x14ac:dyDescent="0.25">
      <c r="A614" s="21"/>
      <c r="B614" s="22"/>
      <c r="C614" s="22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</row>
    <row r="615" spans="1:15" ht="15.75" thickBot="1" x14ac:dyDescent="0.3">
      <c r="C615" s="6" t="s">
        <v>268</v>
      </c>
    </row>
    <row r="616" spans="1:15" ht="15.75" thickBot="1" x14ac:dyDescent="0.3">
      <c r="A616" s="9" t="s">
        <v>0</v>
      </c>
      <c r="B616" s="3" t="s">
        <v>1</v>
      </c>
      <c r="C616" s="3" t="s">
        <v>2</v>
      </c>
      <c r="D616" s="35" t="s">
        <v>3</v>
      </c>
      <c r="E616" s="35" t="s">
        <v>4</v>
      </c>
      <c r="F616" s="35" t="s">
        <v>5</v>
      </c>
      <c r="G616" s="35" t="s">
        <v>6</v>
      </c>
      <c r="H616" s="35" t="s">
        <v>5</v>
      </c>
      <c r="I616" s="35" t="s">
        <v>7</v>
      </c>
      <c r="J616" s="35" t="s">
        <v>8</v>
      </c>
      <c r="K616" s="35" t="s">
        <v>8</v>
      </c>
      <c r="L616" s="35" t="s">
        <v>9</v>
      </c>
      <c r="M616" s="35" t="s">
        <v>467</v>
      </c>
      <c r="N616" s="12" t="s">
        <v>10</v>
      </c>
    </row>
    <row r="617" spans="1:15" x14ac:dyDescent="0.25">
      <c r="A617" s="10">
        <v>1</v>
      </c>
      <c r="B617" s="1" t="s">
        <v>233</v>
      </c>
      <c r="C617" s="2" t="s">
        <v>232</v>
      </c>
      <c r="D617" s="13">
        <v>44550</v>
      </c>
      <c r="E617" s="38">
        <v>0</v>
      </c>
      <c r="F617" s="13">
        <f t="shared" ref="F617:F631" si="120">+D617/31*E617</f>
        <v>0</v>
      </c>
      <c r="G617" s="13">
        <v>0</v>
      </c>
      <c r="H617" s="13">
        <f t="shared" ref="H617:H631" si="121">+D617/248*G617</f>
        <v>0</v>
      </c>
      <c r="I617" s="13">
        <f t="shared" ref="I617:I631" si="122">+F617+H617</f>
        <v>0</v>
      </c>
      <c r="J617" s="13">
        <v>0</v>
      </c>
      <c r="K617" s="13">
        <v>0</v>
      </c>
      <c r="L617" s="13">
        <v>0</v>
      </c>
      <c r="M617" s="13">
        <v>0</v>
      </c>
      <c r="N617" s="13">
        <f t="shared" ref="N617:N631" si="123">+J617-K617-L617-M617</f>
        <v>0</v>
      </c>
      <c r="O617" t="s">
        <v>450</v>
      </c>
    </row>
    <row r="618" spans="1:15" x14ac:dyDescent="0.25">
      <c r="A618" s="11">
        <v>2</v>
      </c>
      <c r="B618" s="1" t="s">
        <v>235</v>
      </c>
      <c r="C618" s="2" t="s">
        <v>232</v>
      </c>
      <c r="D618" s="13">
        <v>44550</v>
      </c>
      <c r="E618" s="38">
        <v>0</v>
      </c>
      <c r="F618" s="13">
        <f t="shared" si="120"/>
        <v>0</v>
      </c>
      <c r="G618" s="13">
        <v>0</v>
      </c>
      <c r="H618" s="13">
        <f t="shared" si="121"/>
        <v>0</v>
      </c>
      <c r="I618" s="13">
        <f t="shared" si="122"/>
        <v>0</v>
      </c>
      <c r="J618" s="13">
        <v>0</v>
      </c>
      <c r="K618" s="13">
        <v>0</v>
      </c>
      <c r="L618" s="13">
        <v>0</v>
      </c>
      <c r="M618" s="13">
        <v>0</v>
      </c>
      <c r="N618" s="13">
        <f t="shared" si="123"/>
        <v>0</v>
      </c>
      <c r="O618" t="s">
        <v>450</v>
      </c>
    </row>
    <row r="619" spans="1:15" x14ac:dyDescent="0.25">
      <c r="A619" s="10">
        <v>3</v>
      </c>
      <c r="B619" s="1" t="s">
        <v>249</v>
      </c>
      <c r="C619" s="2" t="s">
        <v>232</v>
      </c>
      <c r="D619" s="13">
        <v>44550</v>
      </c>
      <c r="E619" s="38">
        <v>0</v>
      </c>
      <c r="F619" s="13">
        <f t="shared" si="120"/>
        <v>0</v>
      </c>
      <c r="G619" s="13">
        <v>0</v>
      </c>
      <c r="H619" s="13">
        <f t="shared" si="121"/>
        <v>0</v>
      </c>
      <c r="I619" s="13">
        <f t="shared" si="122"/>
        <v>0</v>
      </c>
      <c r="J619" s="13">
        <v>0</v>
      </c>
      <c r="K619" s="13">
        <v>0</v>
      </c>
      <c r="L619" s="13">
        <v>0</v>
      </c>
      <c r="M619" s="13">
        <v>0</v>
      </c>
      <c r="N619" s="13">
        <f t="shared" si="123"/>
        <v>0</v>
      </c>
      <c r="O619" t="s">
        <v>450</v>
      </c>
    </row>
    <row r="620" spans="1:15" x14ac:dyDescent="0.25">
      <c r="A620" s="11">
        <v>4</v>
      </c>
      <c r="B620" s="1" t="s">
        <v>297</v>
      </c>
      <c r="C620" s="2" t="s">
        <v>232</v>
      </c>
      <c r="D620" s="13">
        <v>40500</v>
      </c>
      <c r="E620" s="38">
        <v>0</v>
      </c>
      <c r="F620" s="13">
        <f t="shared" si="120"/>
        <v>0</v>
      </c>
      <c r="G620" s="13">
        <v>0</v>
      </c>
      <c r="H620" s="13">
        <f t="shared" si="121"/>
        <v>0</v>
      </c>
      <c r="I620" s="13">
        <f t="shared" si="122"/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f t="shared" si="123"/>
        <v>0</v>
      </c>
      <c r="O620" t="s">
        <v>450</v>
      </c>
    </row>
    <row r="621" spans="1:15" x14ac:dyDescent="0.25">
      <c r="A621" s="10">
        <v>5</v>
      </c>
      <c r="B621" s="1" t="s">
        <v>214</v>
      </c>
      <c r="C621" s="2" t="s">
        <v>232</v>
      </c>
      <c r="D621" s="13">
        <v>40500</v>
      </c>
      <c r="E621" s="38">
        <v>0</v>
      </c>
      <c r="F621" s="13">
        <f t="shared" si="120"/>
        <v>0</v>
      </c>
      <c r="G621" s="13">
        <v>0</v>
      </c>
      <c r="H621" s="13">
        <f t="shared" si="121"/>
        <v>0</v>
      </c>
      <c r="I621" s="13">
        <f t="shared" si="122"/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f t="shared" si="123"/>
        <v>0</v>
      </c>
      <c r="O621" t="s">
        <v>450</v>
      </c>
    </row>
    <row r="622" spans="1:15" x14ac:dyDescent="0.25">
      <c r="A622" s="11">
        <v>6</v>
      </c>
      <c r="B622" s="1" t="s">
        <v>298</v>
      </c>
      <c r="C622" s="2" t="s">
        <v>232</v>
      </c>
      <c r="D622" s="13">
        <v>40500</v>
      </c>
      <c r="E622" s="38">
        <v>0</v>
      </c>
      <c r="F622" s="13">
        <f t="shared" si="120"/>
        <v>0</v>
      </c>
      <c r="G622" s="13">
        <v>0</v>
      </c>
      <c r="H622" s="13">
        <f t="shared" si="121"/>
        <v>0</v>
      </c>
      <c r="I622" s="13">
        <f t="shared" si="122"/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f t="shared" si="123"/>
        <v>0</v>
      </c>
      <c r="O622" t="s">
        <v>450</v>
      </c>
    </row>
    <row r="623" spans="1:15" x14ac:dyDescent="0.25">
      <c r="A623" s="10">
        <v>7</v>
      </c>
      <c r="B623" s="1" t="s">
        <v>299</v>
      </c>
      <c r="C623" s="2" t="s">
        <v>232</v>
      </c>
      <c r="D623" s="13">
        <v>40500</v>
      </c>
      <c r="E623" s="38">
        <v>0</v>
      </c>
      <c r="F623" s="13">
        <f t="shared" si="120"/>
        <v>0</v>
      </c>
      <c r="G623" s="13">
        <v>0</v>
      </c>
      <c r="H623" s="13">
        <f t="shared" si="121"/>
        <v>0</v>
      </c>
      <c r="I623" s="13">
        <f t="shared" si="122"/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f t="shared" si="123"/>
        <v>0</v>
      </c>
      <c r="O623" t="s">
        <v>450</v>
      </c>
    </row>
    <row r="624" spans="1:15" x14ac:dyDescent="0.25">
      <c r="A624" s="11">
        <v>8</v>
      </c>
      <c r="B624" s="1" t="s">
        <v>194</v>
      </c>
      <c r="C624" s="2" t="s">
        <v>232</v>
      </c>
      <c r="D624" s="13">
        <v>40500</v>
      </c>
      <c r="E624" s="38">
        <v>0</v>
      </c>
      <c r="F624" s="13">
        <f t="shared" si="120"/>
        <v>0</v>
      </c>
      <c r="G624" s="13">
        <v>0</v>
      </c>
      <c r="H624" s="13">
        <f t="shared" si="121"/>
        <v>0</v>
      </c>
      <c r="I624" s="13">
        <f t="shared" si="122"/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f t="shared" si="123"/>
        <v>0</v>
      </c>
      <c r="O624" t="s">
        <v>450</v>
      </c>
    </row>
    <row r="625" spans="1:15" x14ac:dyDescent="0.25">
      <c r="A625" s="10">
        <v>9</v>
      </c>
      <c r="B625" s="1" t="s">
        <v>12</v>
      </c>
      <c r="C625" s="2" t="s">
        <v>232</v>
      </c>
      <c r="D625" s="13">
        <v>40500</v>
      </c>
      <c r="E625" s="38">
        <v>0</v>
      </c>
      <c r="F625" s="13">
        <f t="shared" si="120"/>
        <v>0</v>
      </c>
      <c r="G625" s="13">
        <v>0</v>
      </c>
      <c r="H625" s="13">
        <f t="shared" si="121"/>
        <v>0</v>
      </c>
      <c r="I625" s="13">
        <f t="shared" si="122"/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f t="shared" si="123"/>
        <v>0</v>
      </c>
      <c r="O625" t="s">
        <v>450</v>
      </c>
    </row>
    <row r="626" spans="1:15" x14ac:dyDescent="0.25">
      <c r="A626" s="11">
        <v>10</v>
      </c>
      <c r="B626" s="1" t="s">
        <v>342</v>
      </c>
      <c r="C626" s="2" t="s">
        <v>232</v>
      </c>
      <c r="D626" s="13">
        <v>40500</v>
      </c>
      <c r="E626" s="38">
        <v>0</v>
      </c>
      <c r="F626" s="13">
        <f t="shared" si="120"/>
        <v>0</v>
      </c>
      <c r="G626" s="13">
        <v>0</v>
      </c>
      <c r="H626" s="13">
        <f t="shared" si="121"/>
        <v>0</v>
      </c>
      <c r="I626" s="13">
        <f t="shared" si="122"/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f t="shared" si="123"/>
        <v>0</v>
      </c>
      <c r="O626" t="s">
        <v>450</v>
      </c>
    </row>
    <row r="627" spans="1:15" x14ac:dyDescent="0.25">
      <c r="A627" s="10">
        <v>11</v>
      </c>
      <c r="B627" s="1" t="s">
        <v>236</v>
      </c>
      <c r="C627" s="2" t="s">
        <v>232</v>
      </c>
      <c r="D627" s="13">
        <v>40500</v>
      </c>
      <c r="E627" s="38">
        <v>0</v>
      </c>
      <c r="F627" s="13">
        <f t="shared" si="120"/>
        <v>0</v>
      </c>
      <c r="G627" s="13">
        <v>0</v>
      </c>
      <c r="H627" s="13">
        <f t="shared" si="121"/>
        <v>0</v>
      </c>
      <c r="I627" s="13">
        <f t="shared" si="122"/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f t="shared" si="123"/>
        <v>0</v>
      </c>
      <c r="O627" t="s">
        <v>450</v>
      </c>
    </row>
    <row r="628" spans="1:15" x14ac:dyDescent="0.25">
      <c r="A628" s="11">
        <v>12</v>
      </c>
      <c r="B628" s="1" t="s">
        <v>369</v>
      </c>
      <c r="C628" s="2" t="s">
        <v>232</v>
      </c>
      <c r="D628" s="13">
        <v>40500</v>
      </c>
      <c r="E628" s="38">
        <v>0</v>
      </c>
      <c r="F628" s="13">
        <f t="shared" si="120"/>
        <v>0</v>
      </c>
      <c r="G628" s="13">
        <v>0</v>
      </c>
      <c r="H628" s="13">
        <f t="shared" si="121"/>
        <v>0</v>
      </c>
      <c r="I628" s="13">
        <f t="shared" si="122"/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f t="shared" si="123"/>
        <v>0</v>
      </c>
      <c r="O628" t="s">
        <v>450</v>
      </c>
    </row>
    <row r="629" spans="1:15" x14ac:dyDescent="0.25">
      <c r="A629" s="10">
        <v>13</v>
      </c>
      <c r="B629" s="1" t="s">
        <v>190</v>
      </c>
      <c r="C629" s="2" t="s">
        <v>232</v>
      </c>
      <c r="D629" s="13">
        <v>40500</v>
      </c>
      <c r="E629" s="38">
        <v>0</v>
      </c>
      <c r="F629" s="13">
        <f t="shared" si="120"/>
        <v>0</v>
      </c>
      <c r="G629" s="13">
        <v>0</v>
      </c>
      <c r="H629" s="13">
        <f t="shared" si="121"/>
        <v>0</v>
      </c>
      <c r="I629" s="13">
        <f t="shared" si="122"/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f t="shared" si="123"/>
        <v>0</v>
      </c>
      <c r="O629" t="s">
        <v>450</v>
      </c>
    </row>
    <row r="630" spans="1:15" x14ac:dyDescent="0.25">
      <c r="A630" s="11">
        <v>14</v>
      </c>
      <c r="B630" s="1" t="s">
        <v>402</v>
      </c>
      <c r="C630" s="2" t="s">
        <v>232</v>
      </c>
      <c r="D630" s="13">
        <v>40500</v>
      </c>
      <c r="E630" s="38">
        <v>0</v>
      </c>
      <c r="F630" s="13">
        <f t="shared" si="120"/>
        <v>0</v>
      </c>
      <c r="G630" s="13">
        <v>0</v>
      </c>
      <c r="H630" s="13">
        <f t="shared" si="121"/>
        <v>0</v>
      </c>
      <c r="I630" s="13">
        <f t="shared" si="122"/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f t="shared" si="123"/>
        <v>0</v>
      </c>
      <c r="O630" t="s">
        <v>450</v>
      </c>
    </row>
    <row r="631" spans="1:15" ht="15.75" thickBot="1" x14ac:dyDescent="0.3">
      <c r="A631" s="10">
        <v>15</v>
      </c>
      <c r="B631" s="1" t="s">
        <v>403</v>
      </c>
      <c r="C631" s="2" t="s">
        <v>232</v>
      </c>
      <c r="D631" s="13">
        <v>40500</v>
      </c>
      <c r="E631" s="38">
        <v>0</v>
      </c>
      <c r="F631" s="13">
        <f t="shared" si="120"/>
        <v>0</v>
      </c>
      <c r="G631" s="13">
        <v>0</v>
      </c>
      <c r="H631" s="13">
        <f t="shared" si="121"/>
        <v>0</v>
      </c>
      <c r="I631" s="13">
        <f t="shared" si="122"/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f t="shared" si="123"/>
        <v>0</v>
      </c>
      <c r="O631" t="s">
        <v>450</v>
      </c>
    </row>
    <row r="632" spans="1:15" ht="15.75" thickBot="1" x14ac:dyDescent="0.3">
      <c r="A632" s="9"/>
      <c r="B632" s="3" t="s">
        <v>11</v>
      </c>
      <c r="C632" s="3"/>
      <c r="D632" s="39">
        <f>SUM(D617:D631)</f>
        <v>619650</v>
      </c>
      <c r="E632" s="39">
        <f t="shared" ref="E632:N632" si="124">SUM(E617:E631)</f>
        <v>0</v>
      </c>
      <c r="F632" s="39">
        <f t="shared" si="124"/>
        <v>0</v>
      </c>
      <c r="G632" s="39">
        <f t="shared" si="124"/>
        <v>0</v>
      </c>
      <c r="H632" s="39">
        <f t="shared" si="124"/>
        <v>0</v>
      </c>
      <c r="I632" s="39">
        <f t="shared" si="124"/>
        <v>0</v>
      </c>
      <c r="J632" s="39">
        <f t="shared" si="124"/>
        <v>0</v>
      </c>
      <c r="K632" s="39">
        <f t="shared" si="124"/>
        <v>0</v>
      </c>
      <c r="L632" s="39">
        <f t="shared" si="124"/>
        <v>0</v>
      </c>
      <c r="M632" s="39">
        <f t="shared" si="124"/>
        <v>0</v>
      </c>
      <c r="N632" s="39">
        <f t="shared" si="124"/>
        <v>0</v>
      </c>
    </row>
    <row r="633" spans="1:15" x14ac:dyDescent="0.25">
      <c r="A633" s="21"/>
      <c r="B633" s="22"/>
      <c r="C633" s="22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</row>
    <row r="634" spans="1:15" ht="15.75" thickBot="1" x14ac:dyDescent="0.3">
      <c r="C634" s="6" t="s">
        <v>268</v>
      </c>
    </row>
    <row r="635" spans="1:15" ht="15.75" thickBot="1" x14ac:dyDescent="0.3">
      <c r="A635" s="9" t="s">
        <v>0</v>
      </c>
      <c r="B635" s="3" t="s">
        <v>1</v>
      </c>
      <c r="C635" s="3" t="s">
        <v>2</v>
      </c>
      <c r="D635" s="35" t="s">
        <v>3</v>
      </c>
      <c r="E635" s="35" t="s">
        <v>4</v>
      </c>
      <c r="F635" s="35" t="s">
        <v>5</v>
      </c>
      <c r="G635" s="35" t="s">
        <v>6</v>
      </c>
      <c r="H635" s="35" t="s">
        <v>5</v>
      </c>
      <c r="I635" s="35" t="s">
        <v>7</v>
      </c>
      <c r="J635" s="35" t="s">
        <v>8</v>
      </c>
      <c r="K635" s="35" t="s">
        <v>8</v>
      </c>
      <c r="L635" s="35" t="s">
        <v>9</v>
      </c>
      <c r="M635" s="35" t="s">
        <v>467</v>
      </c>
      <c r="N635" s="12" t="s">
        <v>10</v>
      </c>
    </row>
    <row r="636" spans="1:15" x14ac:dyDescent="0.25">
      <c r="A636" s="10">
        <v>1</v>
      </c>
      <c r="B636" s="1" t="s">
        <v>120</v>
      </c>
      <c r="C636" s="2" t="s">
        <v>131</v>
      </c>
      <c r="D636" s="37">
        <v>27000</v>
      </c>
      <c r="E636" s="38">
        <v>0</v>
      </c>
      <c r="F636" s="13">
        <f t="shared" ref="F636:F645" si="125">+D636/31*E636</f>
        <v>0</v>
      </c>
      <c r="G636" s="13">
        <v>0</v>
      </c>
      <c r="H636" s="13">
        <f t="shared" ref="H636:H645" si="126">+D636/248*G636</f>
        <v>0</v>
      </c>
      <c r="I636" s="13">
        <f t="shared" ref="I636:I645" si="127">+F636+H636</f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f t="shared" ref="N636:N645" si="128">+J636-K636-L636-M636</f>
        <v>0</v>
      </c>
      <c r="O636" t="s">
        <v>454</v>
      </c>
    </row>
    <row r="637" spans="1:15" x14ac:dyDescent="0.25">
      <c r="A637" s="10">
        <v>2</v>
      </c>
      <c r="B637" s="1" t="s">
        <v>304</v>
      </c>
      <c r="C637" s="2" t="s">
        <v>131</v>
      </c>
      <c r="D637" s="37">
        <v>27000</v>
      </c>
      <c r="E637" s="38">
        <v>0</v>
      </c>
      <c r="F637" s="13">
        <f t="shared" si="125"/>
        <v>0</v>
      </c>
      <c r="G637" s="13">
        <v>0</v>
      </c>
      <c r="H637" s="13">
        <f t="shared" si="126"/>
        <v>0</v>
      </c>
      <c r="I637" s="13">
        <f t="shared" si="127"/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f t="shared" si="128"/>
        <v>0</v>
      </c>
      <c r="O637" t="s">
        <v>454</v>
      </c>
    </row>
    <row r="638" spans="1:15" x14ac:dyDescent="0.25">
      <c r="A638" s="10">
        <v>3</v>
      </c>
      <c r="B638" s="1" t="s">
        <v>314</v>
      </c>
      <c r="C638" s="2" t="s">
        <v>131</v>
      </c>
      <c r="D638" s="37">
        <v>27000</v>
      </c>
      <c r="E638" s="38">
        <v>0</v>
      </c>
      <c r="F638" s="13">
        <f t="shared" si="125"/>
        <v>0</v>
      </c>
      <c r="G638" s="13">
        <v>0</v>
      </c>
      <c r="H638" s="13">
        <f t="shared" si="126"/>
        <v>0</v>
      </c>
      <c r="I638" s="13">
        <f t="shared" si="127"/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f t="shared" si="128"/>
        <v>0</v>
      </c>
      <c r="O638" t="s">
        <v>454</v>
      </c>
    </row>
    <row r="639" spans="1:15" x14ac:dyDescent="0.25">
      <c r="A639" s="10">
        <v>4</v>
      </c>
      <c r="B639" s="1" t="s">
        <v>110</v>
      </c>
      <c r="C639" s="2" t="s">
        <v>131</v>
      </c>
      <c r="D639" s="37">
        <v>27000</v>
      </c>
      <c r="E639" s="38">
        <v>0</v>
      </c>
      <c r="F639" s="13">
        <f t="shared" si="125"/>
        <v>0</v>
      </c>
      <c r="G639" s="13">
        <v>0</v>
      </c>
      <c r="H639" s="13">
        <f t="shared" si="126"/>
        <v>0</v>
      </c>
      <c r="I639" s="13">
        <f t="shared" si="127"/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f t="shared" si="128"/>
        <v>0</v>
      </c>
      <c r="O639" t="s">
        <v>454</v>
      </c>
    </row>
    <row r="640" spans="1:15" x14ac:dyDescent="0.25">
      <c r="A640" s="10">
        <v>5</v>
      </c>
      <c r="B640" s="1" t="s">
        <v>276</v>
      </c>
      <c r="C640" s="2" t="s">
        <v>131</v>
      </c>
      <c r="D640" s="37">
        <v>27000</v>
      </c>
      <c r="E640" s="38">
        <v>0</v>
      </c>
      <c r="F640" s="13">
        <f t="shared" si="125"/>
        <v>0</v>
      </c>
      <c r="G640" s="13">
        <v>0</v>
      </c>
      <c r="H640" s="13">
        <f t="shared" si="126"/>
        <v>0</v>
      </c>
      <c r="I640" s="13">
        <f t="shared" si="127"/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f t="shared" si="128"/>
        <v>0</v>
      </c>
      <c r="O640" t="s">
        <v>454</v>
      </c>
    </row>
    <row r="641" spans="1:15" x14ac:dyDescent="0.25">
      <c r="A641" s="10">
        <v>6</v>
      </c>
      <c r="B641" s="1" t="s">
        <v>124</v>
      </c>
      <c r="C641" s="2" t="s">
        <v>131</v>
      </c>
      <c r="D641" s="37">
        <v>27000</v>
      </c>
      <c r="E641" s="38">
        <v>0</v>
      </c>
      <c r="F641" s="13">
        <f t="shared" si="125"/>
        <v>0</v>
      </c>
      <c r="G641" s="13">
        <v>0</v>
      </c>
      <c r="H641" s="13">
        <f t="shared" si="126"/>
        <v>0</v>
      </c>
      <c r="I641" s="13">
        <f t="shared" si="127"/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f t="shared" si="128"/>
        <v>0</v>
      </c>
      <c r="O641" t="s">
        <v>454</v>
      </c>
    </row>
    <row r="642" spans="1:15" x14ac:dyDescent="0.25">
      <c r="A642" s="10">
        <v>7</v>
      </c>
      <c r="B642" s="1" t="s">
        <v>404</v>
      </c>
      <c r="C642" s="2" t="s">
        <v>131</v>
      </c>
      <c r="D642" s="37">
        <v>27000</v>
      </c>
      <c r="E642" s="38">
        <v>0</v>
      </c>
      <c r="F642" s="13">
        <f t="shared" si="125"/>
        <v>0</v>
      </c>
      <c r="G642" s="13">
        <v>0</v>
      </c>
      <c r="H642" s="13">
        <f t="shared" si="126"/>
        <v>0</v>
      </c>
      <c r="I642" s="13">
        <f t="shared" si="127"/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f t="shared" si="128"/>
        <v>0</v>
      </c>
      <c r="O642" t="s">
        <v>454</v>
      </c>
    </row>
    <row r="643" spans="1:15" x14ac:dyDescent="0.25">
      <c r="A643" s="10">
        <v>8</v>
      </c>
      <c r="B643" s="1" t="s">
        <v>350</v>
      </c>
      <c r="C643" s="2" t="s">
        <v>131</v>
      </c>
      <c r="D643" s="37">
        <v>27000</v>
      </c>
      <c r="E643" s="38">
        <v>0</v>
      </c>
      <c r="F643" s="13">
        <f t="shared" si="125"/>
        <v>0</v>
      </c>
      <c r="G643" s="13">
        <v>0</v>
      </c>
      <c r="H643" s="13">
        <f t="shared" si="126"/>
        <v>0</v>
      </c>
      <c r="I643" s="13">
        <f t="shared" si="127"/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f t="shared" si="128"/>
        <v>0</v>
      </c>
      <c r="O643" t="s">
        <v>454</v>
      </c>
    </row>
    <row r="644" spans="1:15" x14ac:dyDescent="0.25">
      <c r="A644" s="10">
        <v>9</v>
      </c>
      <c r="B644" s="1" t="s">
        <v>318</v>
      </c>
      <c r="C644" s="2" t="s">
        <v>131</v>
      </c>
      <c r="D644" s="37">
        <v>27000</v>
      </c>
      <c r="E644" s="38">
        <v>0</v>
      </c>
      <c r="F644" s="13">
        <f t="shared" si="125"/>
        <v>0</v>
      </c>
      <c r="G644" s="13">
        <v>0</v>
      </c>
      <c r="H644" s="13">
        <f t="shared" si="126"/>
        <v>0</v>
      </c>
      <c r="I644" s="13">
        <f t="shared" si="127"/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f t="shared" si="128"/>
        <v>0</v>
      </c>
      <c r="O644" t="s">
        <v>454</v>
      </c>
    </row>
    <row r="645" spans="1:15" ht="15.75" thickBot="1" x14ac:dyDescent="0.3">
      <c r="A645" s="10">
        <v>10</v>
      </c>
      <c r="B645" s="1" t="s">
        <v>237</v>
      </c>
      <c r="C645" s="2" t="s">
        <v>238</v>
      </c>
      <c r="D645" s="37">
        <v>26620</v>
      </c>
      <c r="E645" s="38">
        <v>0</v>
      </c>
      <c r="F645" s="13">
        <f t="shared" si="125"/>
        <v>0</v>
      </c>
      <c r="G645" s="13">
        <v>0</v>
      </c>
      <c r="H645" s="13">
        <f t="shared" si="126"/>
        <v>0</v>
      </c>
      <c r="I645" s="13">
        <f t="shared" si="127"/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f t="shared" si="128"/>
        <v>0</v>
      </c>
      <c r="O645" t="s">
        <v>454</v>
      </c>
    </row>
    <row r="646" spans="1:15" ht="15.75" thickBot="1" x14ac:dyDescent="0.3">
      <c r="A646" s="9"/>
      <c r="B646" s="3" t="s">
        <v>11</v>
      </c>
      <c r="C646" s="3"/>
      <c r="D646" s="39">
        <f>SUM(D636:D645)</f>
        <v>269620</v>
      </c>
      <c r="E646" s="39">
        <f>SUM(E636:E645)</f>
        <v>0</v>
      </c>
      <c r="F646" s="39">
        <f>SUM(F636:F645)</f>
        <v>0</v>
      </c>
      <c r="G646" s="39">
        <f>SUM(G636:G645)</f>
        <v>0</v>
      </c>
      <c r="H646" s="39">
        <f>SUM(H636:H645)</f>
        <v>0</v>
      </c>
      <c r="I646" s="39">
        <f>SUM(I636:I645)</f>
        <v>0</v>
      </c>
      <c r="J646" s="39">
        <f>SUM(J636:J645)</f>
        <v>0</v>
      </c>
      <c r="K646" s="39">
        <f>SUM(K636:K645)</f>
        <v>0</v>
      </c>
      <c r="L646" s="39">
        <f>SUM(L636:L645)</f>
        <v>0</v>
      </c>
      <c r="M646" s="39">
        <f>SUM(M636:M645)</f>
        <v>0</v>
      </c>
      <c r="N646" s="39">
        <f>SUM(N636:N645)</f>
        <v>0</v>
      </c>
    </row>
    <row r="651" spans="1:15" ht="15.75" thickBot="1" x14ac:dyDescent="0.3">
      <c r="C651" s="6" t="s">
        <v>268</v>
      </c>
    </row>
    <row r="652" spans="1:15" ht="15.75" thickBot="1" x14ac:dyDescent="0.3">
      <c r="A652" s="9" t="s">
        <v>0</v>
      </c>
      <c r="B652" s="3" t="s">
        <v>1</v>
      </c>
      <c r="C652" s="3" t="s">
        <v>2</v>
      </c>
      <c r="D652" s="35" t="s">
        <v>3</v>
      </c>
      <c r="E652" s="35" t="s">
        <v>4</v>
      </c>
      <c r="F652" s="35" t="s">
        <v>5</v>
      </c>
      <c r="G652" s="35" t="s">
        <v>6</v>
      </c>
      <c r="H652" s="35" t="s">
        <v>5</v>
      </c>
      <c r="I652" s="35" t="s">
        <v>7</v>
      </c>
      <c r="J652" s="35" t="s">
        <v>8</v>
      </c>
      <c r="K652" s="35" t="s">
        <v>8</v>
      </c>
      <c r="L652" s="35" t="s">
        <v>9</v>
      </c>
      <c r="M652" s="35" t="s">
        <v>467</v>
      </c>
      <c r="N652" s="12" t="s">
        <v>10</v>
      </c>
    </row>
    <row r="653" spans="1:15" x14ac:dyDescent="0.25">
      <c r="A653" s="11">
        <v>1</v>
      </c>
      <c r="B653" s="1" t="s">
        <v>272</v>
      </c>
      <c r="C653" s="2" t="s">
        <v>112</v>
      </c>
      <c r="D653" s="13">
        <v>25000</v>
      </c>
      <c r="E653" s="38">
        <v>0</v>
      </c>
      <c r="F653" s="13">
        <f t="shared" ref="F653:F670" si="129">+D653/31*E653</f>
        <v>0</v>
      </c>
      <c r="G653" s="13">
        <v>0</v>
      </c>
      <c r="H653" s="13">
        <f t="shared" ref="H653:H670" si="130">+D653/248*G653</f>
        <v>0</v>
      </c>
      <c r="I653" s="13">
        <f t="shared" ref="I653:I670" si="131">+F653+H653</f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f t="shared" ref="N653:N670" si="132">+J653-K653-L653-M653</f>
        <v>0</v>
      </c>
      <c r="O653" t="s">
        <v>454</v>
      </c>
    </row>
    <row r="654" spans="1:15" x14ac:dyDescent="0.25">
      <c r="A654" s="10">
        <v>2</v>
      </c>
      <c r="B654" s="1" t="s">
        <v>300</v>
      </c>
      <c r="C654" s="2" t="s">
        <v>112</v>
      </c>
      <c r="D654" s="13">
        <v>25000</v>
      </c>
      <c r="E654" s="38">
        <v>0</v>
      </c>
      <c r="F654" s="13">
        <f t="shared" si="129"/>
        <v>0</v>
      </c>
      <c r="G654" s="13">
        <v>0</v>
      </c>
      <c r="H654" s="13">
        <f t="shared" si="130"/>
        <v>0</v>
      </c>
      <c r="I654" s="13">
        <f t="shared" si="131"/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f t="shared" si="132"/>
        <v>0</v>
      </c>
      <c r="O654" t="s">
        <v>454</v>
      </c>
    </row>
    <row r="655" spans="1:15" x14ac:dyDescent="0.25">
      <c r="A655" s="11">
        <v>3</v>
      </c>
      <c r="B655" s="1" t="s">
        <v>336</v>
      </c>
      <c r="C655" s="2" t="s">
        <v>112</v>
      </c>
      <c r="D655" s="13">
        <v>25000</v>
      </c>
      <c r="E655" s="38">
        <v>0</v>
      </c>
      <c r="F655" s="13">
        <f t="shared" si="129"/>
        <v>0</v>
      </c>
      <c r="G655" s="13">
        <v>0</v>
      </c>
      <c r="H655" s="13">
        <f t="shared" si="130"/>
        <v>0</v>
      </c>
      <c r="I655" s="13">
        <f t="shared" si="131"/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f t="shared" si="132"/>
        <v>0</v>
      </c>
      <c r="O655" t="s">
        <v>454</v>
      </c>
    </row>
    <row r="656" spans="1:15" x14ac:dyDescent="0.25">
      <c r="A656" s="10">
        <v>4</v>
      </c>
      <c r="B656" s="1" t="s">
        <v>337</v>
      </c>
      <c r="C656" s="2" t="s">
        <v>112</v>
      </c>
      <c r="D656" s="13">
        <v>25000</v>
      </c>
      <c r="E656" s="38">
        <v>0</v>
      </c>
      <c r="F656" s="13">
        <f t="shared" si="129"/>
        <v>0</v>
      </c>
      <c r="G656" s="13">
        <v>0</v>
      </c>
      <c r="H656" s="13">
        <f t="shared" si="130"/>
        <v>0</v>
      </c>
      <c r="I656" s="13">
        <f t="shared" si="131"/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f t="shared" si="132"/>
        <v>0</v>
      </c>
      <c r="O656" t="s">
        <v>454</v>
      </c>
    </row>
    <row r="657" spans="1:15" x14ac:dyDescent="0.25">
      <c r="A657" s="11">
        <v>5</v>
      </c>
      <c r="B657" s="1" t="s">
        <v>370</v>
      </c>
      <c r="C657" s="2" t="s">
        <v>112</v>
      </c>
      <c r="D657" s="13">
        <v>25000</v>
      </c>
      <c r="E657" s="38">
        <v>0</v>
      </c>
      <c r="F657" s="13">
        <f t="shared" si="129"/>
        <v>0</v>
      </c>
      <c r="G657" s="13">
        <v>0</v>
      </c>
      <c r="H657" s="13">
        <f t="shared" si="130"/>
        <v>0</v>
      </c>
      <c r="I657" s="13">
        <f t="shared" si="131"/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f t="shared" si="132"/>
        <v>0</v>
      </c>
      <c r="O657" t="s">
        <v>454</v>
      </c>
    </row>
    <row r="658" spans="1:15" x14ac:dyDescent="0.25">
      <c r="A658" s="10">
        <v>6</v>
      </c>
      <c r="B658" s="1" t="s">
        <v>371</v>
      </c>
      <c r="C658" s="2" t="s">
        <v>112</v>
      </c>
      <c r="D658" s="13">
        <v>25000</v>
      </c>
      <c r="E658" s="38">
        <v>0</v>
      </c>
      <c r="F658" s="13">
        <f t="shared" si="129"/>
        <v>0</v>
      </c>
      <c r="G658" s="13">
        <v>0</v>
      </c>
      <c r="H658" s="13">
        <f t="shared" si="130"/>
        <v>0</v>
      </c>
      <c r="I658" s="13">
        <f t="shared" si="131"/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f t="shared" si="132"/>
        <v>0</v>
      </c>
      <c r="O658" t="s">
        <v>454</v>
      </c>
    </row>
    <row r="659" spans="1:15" x14ac:dyDescent="0.25">
      <c r="A659" s="11">
        <v>7</v>
      </c>
      <c r="B659" s="1" t="s">
        <v>317</v>
      </c>
      <c r="C659" s="2" t="s">
        <v>112</v>
      </c>
      <c r="D659" s="13">
        <v>25000</v>
      </c>
      <c r="E659" s="38">
        <v>0</v>
      </c>
      <c r="F659" s="13">
        <f t="shared" si="129"/>
        <v>0</v>
      </c>
      <c r="G659" s="13">
        <v>0</v>
      </c>
      <c r="H659" s="13">
        <f t="shared" si="130"/>
        <v>0</v>
      </c>
      <c r="I659" s="13">
        <f t="shared" si="131"/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f t="shared" si="132"/>
        <v>0</v>
      </c>
      <c r="O659" t="s">
        <v>454</v>
      </c>
    </row>
    <row r="660" spans="1:15" x14ac:dyDescent="0.25">
      <c r="A660" s="10">
        <v>8</v>
      </c>
      <c r="B660" s="1" t="s">
        <v>188</v>
      </c>
      <c r="C660" s="2" t="s">
        <v>112</v>
      </c>
      <c r="D660" s="13">
        <v>25000</v>
      </c>
      <c r="E660" s="38">
        <v>0</v>
      </c>
      <c r="F660" s="13">
        <f t="shared" si="129"/>
        <v>0</v>
      </c>
      <c r="G660" s="13">
        <v>0</v>
      </c>
      <c r="H660" s="13">
        <f t="shared" si="130"/>
        <v>0</v>
      </c>
      <c r="I660" s="13">
        <f t="shared" si="131"/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f t="shared" si="132"/>
        <v>0</v>
      </c>
      <c r="O660" t="s">
        <v>454</v>
      </c>
    </row>
    <row r="661" spans="1:15" x14ac:dyDescent="0.25">
      <c r="A661" s="11">
        <v>9</v>
      </c>
      <c r="B661" s="1" t="s">
        <v>405</v>
      </c>
      <c r="C661" s="2" t="s">
        <v>112</v>
      </c>
      <c r="D661" s="13">
        <v>25000</v>
      </c>
      <c r="E661" s="38">
        <v>0</v>
      </c>
      <c r="F661" s="13">
        <f t="shared" si="129"/>
        <v>0</v>
      </c>
      <c r="G661" s="13">
        <v>0</v>
      </c>
      <c r="H661" s="13">
        <f t="shared" si="130"/>
        <v>0</v>
      </c>
      <c r="I661" s="13">
        <f t="shared" si="131"/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f t="shared" si="132"/>
        <v>0</v>
      </c>
      <c r="O661" t="s">
        <v>454</v>
      </c>
    </row>
    <row r="662" spans="1:15" x14ac:dyDescent="0.25">
      <c r="A662" s="10">
        <v>10</v>
      </c>
      <c r="B662" s="1" t="s">
        <v>406</v>
      </c>
      <c r="C662" s="2" t="s">
        <v>112</v>
      </c>
      <c r="D662" s="13">
        <v>25000</v>
      </c>
      <c r="E662" s="38">
        <v>0</v>
      </c>
      <c r="F662" s="13">
        <f t="shared" si="129"/>
        <v>0</v>
      </c>
      <c r="G662" s="13">
        <v>0</v>
      </c>
      <c r="H662" s="13">
        <f t="shared" si="130"/>
        <v>0</v>
      </c>
      <c r="I662" s="13">
        <f t="shared" si="131"/>
        <v>0</v>
      </c>
      <c r="J662" s="13">
        <v>0</v>
      </c>
      <c r="K662" s="13">
        <v>0</v>
      </c>
      <c r="L662" s="13">
        <v>0</v>
      </c>
      <c r="M662" s="13">
        <v>0</v>
      </c>
      <c r="N662" s="13">
        <f t="shared" si="132"/>
        <v>0</v>
      </c>
      <c r="O662" t="s">
        <v>454</v>
      </c>
    </row>
    <row r="663" spans="1:15" x14ac:dyDescent="0.25">
      <c r="A663" s="11">
        <v>11</v>
      </c>
      <c r="B663" s="1" t="s">
        <v>407</v>
      </c>
      <c r="C663" s="2" t="s">
        <v>112</v>
      </c>
      <c r="D663" s="13">
        <v>25000</v>
      </c>
      <c r="E663" s="38">
        <v>0</v>
      </c>
      <c r="F663" s="13">
        <f t="shared" si="129"/>
        <v>0</v>
      </c>
      <c r="G663" s="13">
        <v>0</v>
      </c>
      <c r="H663" s="13">
        <f t="shared" si="130"/>
        <v>0</v>
      </c>
      <c r="I663" s="13">
        <f t="shared" si="131"/>
        <v>0</v>
      </c>
      <c r="J663" s="13">
        <v>0</v>
      </c>
      <c r="K663" s="13">
        <v>0</v>
      </c>
      <c r="L663" s="13">
        <v>0</v>
      </c>
      <c r="M663" s="13">
        <v>0</v>
      </c>
      <c r="N663" s="13">
        <f t="shared" si="132"/>
        <v>0</v>
      </c>
      <c r="O663" t="s">
        <v>454</v>
      </c>
    </row>
    <row r="664" spans="1:15" x14ac:dyDescent="0.25">
      <c r="A664" s="10">
        <v>12</v>
      </c>
      <c r="B664" s="1" t="s">
        <v>408</v>
      </c>
      <c r="C664" s="2" t="s">
        <v>112</v>
      </c>
      <c r="D664" s="13">
        <v>25000</v>
      </c>
      <c r="E664" s="38">
        <v>0</v>
      </c>
      <c r="F664" s="13">
        <f t="shared" si="129"/>
        <v>0</v>
      </c>
      <c r="G664" s="13">
        <v>0</v>
      </c>
      <c r="H664" s="13">
        <f t="shared" si="130"/>
        <v>0</v>
      </c>
      <c r="I664" s="13">
        <f t="shared" si="131"/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f t="shared" si="132"/>
        <v>0</v>
      </c>
      <c r="O664" t="s">
        <v>454</v>
      </c>
    </row>
    <row r="665" spans="1:15" x14ac:dyDescent="0.25">
      <c r="A665" s="11">
        <v>13</v>
      </c>
      <c r="B665" s="1" t="s">
        <v>409</v>
      </c>
      <c r="C665" s="2" t="s">
        <v>112</v>
      </c>
      <c r="D665" s="13">
        <v>25000</v>
      </c>
      <c r="E665" s="38">
        <v>0</v>
      </c>
      <c r="F665" s="13">
        <f t="shared" si="129"/>
        <v>0</v>
      </c>
      <c r="G665" s="13">
        <v>0</v>
      </c>
      <c r="H665" s="13">
        <f t="shared" si="130"/>
        <v>0</v>
      </c>
      <c r="I665" s="13">
        <f t="shared" si="131"/>
        <v>0</v>
      </c>
      <c r="J665" s="13">
        <v>0</v>
      </c>
      <c r="K665" s="13">
        <v>0</v>
      </c>
      <c r="L665" s="13">
        <v>0</v>
      </c>
      <c r="M665" s="13">
        <v>0</v>
      </c>
      <c r="N665" s="13">
        <f t="shared" si="132"/>
        <v>0</v>
      </c>
      <c r="O665" t="s">
        <v>454</v>
      </c>
    </row>
    <row r="666" spans="1:15" x14ac:dyDescent="0.25">
      <c r="A666" s="10">
        <v>14</v>
      </c>
      <c r="B666" s="1" t="s">
        <v>423</v>
      </c>
      <c r="C666" s="2" t="s">
        <v>112</v>
      </c>
      <c r="D666" s="13">
        <v>25000</v>
      </c>
      <c r="E666" s="38">
        <v>0</v>
      </c>
      <c r="F666" s="13">
        <f t="shared" si="129"/>
        <v>0</v>
      </c>
      <c r="G666" s="13">
        <v>0</v>
      </c>
      <c r="H666" s="13">
        <f t="shared" si="130"/>
        <v>0</v>
      </c>
      <c r="I666" s="13">
        <f t="shared" si="131"/>
        <v>0</v>
      </c>
      <c r="J666" s="13">
        <v>0</v>
      </c>
      <c r="K666" s="13">
        <v>0</v>
      </c>
      <c r="L666" s="13">
        <v>0</v>
      </c>
      <c r="M666" s="13">
        <v>0</v>
      </c>
      <c r="N666" s="13">
        <f t="shared" si="132"/>
        <v>0</v>
      </c>
      <c r="O666" t="s">
        <v>454</v>
      </c>
    </row>
    <row r="667" spans="1:15" x14ac:dyDescent="0.25">
      <c r="A667" s="11">
        <v>15</v>
      </c>
      <c r="B667" s="1" t="s">
        <v>445</v>
      </c>
      <c r="C667" s="2" t="s">
        <v>112</v>
      </c>
      <c r="D667" s="13">
        <v>25000</v>
      </c>
      <c r="E667" s="38">
        <v>0</v>
      </c>
      <c r="F667" s="13">
        <f t="shared" si="129"/>
        <v>0</v>
      </c>
      <c r="G667" s="13">
        <v>0</v>
      </c>
      <c r="H667" s="13">
        <f t="shared" si="130"/>
        <v>0</v>
      </c>
      <c r="I667" s="13">
        <f t="shared" si="131"/>
        <v>0</v>
      </c>
      <c r="J667" s="13">
        <v>0</v>
      </c>
      <c r="K667" s="13">
        <v>0</v>
      </c>
      <c r="L667" s="13">
        <v>0</v>
      </c>
      <c r="M667" s="13">
        <v>0</v>
      </c>
      <c r="N667" s="13">
        <f t="shared" si="132"/>
        <v>0</v>
      </c>
      <c r="O667" t="s">
        <v>454</v>
      </c>
    </row>
    <row r="668" spans="1:15" x14ac:dyDescent="0.25">
      <c r="A668" s="10">
        <v>16</v>
      </c>
      <c r="B668" s="1" t="s">
        <v>446</v>
      </c>
      <c r="C668" s="2" t="s">
        <v>112</v>
      </c>
      <c r="D668" s="13">
        <v>25000</v>
      </c>
      <c r="E668" s="38">
        <v>0</v>
      </c>
      <c r="F668" s="13">
        <f t="shared" si="129"/>
        <v>0</v>
      </c>
      <c r="G668" s="13">
        <v>0</v>
      </c>
      <c r="H668" s="13">
        <f t="shared" si="130"/>
        <v>0</v>
      </c>
      <c r="I668" s="13">
        <f t="shared" si="131"/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f t="shared" si="132"/>
        <v>0</v>
      </c>
      <c r="O668" t="s">
        <v>454</v>
      </c>
    </row>
    <row r="669" spans="1:15" x14ac:dyDescent="0.25">
      <c r="A669" s="11">
        <v>17</v>
      </c>
      <c r="B669" s="1" t="s">
        <v>447</v>
      </c>
      <c r="C669" s="2" t="s">
        <v>112</v>
      </c>
      <c r="D669" s="13">
        <v>25000</v>
      </c>
      <c r="E669" s="38">
        <v>0</v>
      </c>
      <c r="F669" s="13">
        <f t="shared" si="129"/>
        <v>0</v>
      </c>
      <c r="G669" s="13">
        <v>0</v>
      </c>
      <c r="H669" s="13">
        <f t="shared" si="130"/>
        <v>0</v>
      </c>
      <c r="I669" s="13">
        <f t="shared" si="131"/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f t="shared" si="132"/>
        <v>0</v>
      </c>
      <c r="O669" t="s">
        <v>454</v>
      </c>
    </row>
    <row r="670" spans="1:15" ht="15.75" thickBot="1" x14ac:dyDescent="0.3">
      <c r="A670" s="10">
        <v>18</v>
      </c>
      <c r="B670" s="1" t="s">
        <v>448</v>
      </c>
      <c r="C670" s="2" t="s">
        <v>112</v>
      </c>
      <c r="D670" s="13">
        <v>25000</v>
      </c>
      <c r="E670" s="38">
        <v>0</v>
      </c>
      <c r="F670" s="13">
        <f t="shared" si="129"/>
        <v>0</v>
      </c>
      <c r="G670" s="13">
        <v>0</v>
      </c>
      <c r="H670" s="13">
        <f t="shared" si="130"/>
        <v>0</v>
      </c>
      <c r="I670" s="13">
        <f t="shared" si="131"/>
        <v>0</v>
      </c>
      <c r="J670" s="13">
        <v>0</v>
      </c>
      <c r="K670" s="13">
        <v>0</v>
      </c>
      <c r="L670" s="13">
        <v>0</v>
      </c>
      <c r="M670" s="13">
        <v>0</v>
      </c>
      <c r="N670" s="13">
        <f t="shared" si="132"/>
        <v>0</v>
      </c>
      <c r="O670" t="s">
        <v>454</v>
      </c>
    </row>
    <row r="671" spans="1:15" ht="15.75" thickBot="1" x14ac:dyDescent="0.3">
      <c r="A671" s="9"/>
      <c r="B671" s="3" t="s">
        <v>11</v>
      </c>
      <c r="C671" s="3"/>
      <c r="D671" s="39">
        <f>SUM(D653:D670)</f>
        <v>450000</v>
      </c>
      <c r="E671" s="39">
        <f>SUM(E653:E670)</f>
        <v>0</v>
      </c>
      <c r="F671" s="39">
        <f>SUM(F653:F670)</f>
        <v>0</v>
      </c>
      <c r="G671" s="39">
        <f>SUM(G653:G670)</f>
        <v>0</v>
      </c>
      <c r="H671" s="39">
        <f>SUM(H653:H670)</f>
        <v>0</v>
      </c>
      <c r="I671" s="39">
        <f>SUM(I653:I670)</f>
        <v>0</v>
      </c>
      <c r="J671" s="39">
        <f>SUM(J653:J670)</f>
        <v>0</v>
      </c>
      <c r="K671" s="39">
        <f>SUM(K653:K670)</f>
        <v>0</v>
      </c>
      <c r="L671" s="39">
        <f>SUM(L653:L670)</f>
        <v>0</v>
      </c>
      <c r="M671" s="39">
        <f>SUM(M653:M670)</f>
        <v>0</v>
      </c>
      <c r="N671" s="39">
        <f>SUM(N653:N670)</f>
        <v>0</v>
      </c>
    </row>
    <row r="672" spans="1:15" x14ac:dyDescent="0.25">
      <c r="J672" s="14"/>
      <c r="M672" s="49">
        <f>+N671+N646+N632+N612+N592</f>
        <v>0</v>
      </c>
      <c r="N672" s="49"/>
    </row>
    <row r="673" spans="1:10" x14ac:dyDescent="0.25">
      <c r="J673" s="14"/>
    </row>
    <row r="674" spans="1:10" x14ac:dyDescent="0.25">
      <c r="J674" s="14"/>
    </row>
    <row r="675" spans="1:10" x14ac:dyDescent="0.25">
      <c r="J675" s="14"/>
    </row>
    <row r="676" spans="1:10" x14ac:dyDescent="0.25">
      <c r="J676" s="14"/>
    </row>
    <row r="677" spans="1:10" x14ac:dyDescent="0.25">
      <c r="J677" s="14"/>
    </row>
    <row r="678" spans="1:10" x14ac:dyDescent="0.25">
      <c r="J678" s="14"/>
    </row>
    <row r="679" spans="1:10" x14ac:dyDescent="0.25">
      <c r="A679"/>
      <c r="J679" s="14"/>
    </row>
    <row r="680" spans="1:10" x14ac:dyDescent="0.25">
      <c r="A680"/>
      <c r="J680" s="14"/>
    </row>
    <row r="681" spans="1:10" x14ac:dyDescent="0.25">
      <c r="A681"/>
      <c r="J681" s="14"/>
    </row>
    <row r="682" spans="1:10" x14ac:dyDescent="0.25">
      <c r="A682"/>
      <c r="J682" s="14"/>
    </row>
    <row r="683" spans="1:10" x14ac:dyDescent="0.25">
      <c r="A683"/>
      <c r="J683" s="14"/>
    </row>
    <row r="684" spans="1:10" x14ac:dyDescent="0.25">
      <c r="A684"/>
      <c r="J684" s="14"/>
    </row>
    <row r="685" spans="1:10" x14ac:dyDescent="0.25">
      <c r="A685"/>
      <c r="J685" s="14"/>
    </row>
    <row r="686" spans="1:10" x14ac:dyDescent="0.25">
      <c r="A686"/>
      <c r="J686" s="14"/>
    </row>
    <row r="687" spans="1:10" x14ac:dyDescent="0.25">
      <c r="A687"/>
      <c r="J687" s="14"/>
    </row>
    <row r="688" spans="1:10" ht="15.75" thickBot="1" x14ac:dyDescent="0.3">
      <c r="A688"/>
      <c r="C688" s="6" t="s">
        <v>306</v>
      </c>
    </row>
    <row r="689" spans="1:15" ht="15.75" thickBot="1" x14ac:dyDescent="0.3">
      <c r="A689" s="9" t="s">
        <v>0</v>
      </c>
      <c r="B689" s="3" t="s">
        <v>1</v>
      </c>
      <c r="C689" s="3" t="s">
        <v>2</v>
      </c>
      <c r="D689" s="35" t="s">
        <v>3</v>
      </c>
      <c r="E689" s="35" t="s">
        <v>4</v>
      </c>
      <c r="F689" s="35" t="s">
        <v>5</v>
      </c>
      <c r="G689" s="35" t="s">
        <v>6</v>
      </c>
      <c r="H689" s="35" t="s">
        <v>5</v>
      </c>
      <c r="I689" s="35" t="s">
        <v>7</v>
      </c>
      <c r="J689" s="35" t="s">
        <v>8</v>
      </c>
      <c r="K689" s="35" t="s">
        <v>8</v>
      </c>
      <c r="L689" s="35" t="s">
        <v>9</v>
      </c>
      <c r="M689" s="35" t="s">
        <v>467</v>
      </c>
      <c r="N689" s="12" t="s">
        <v>10</v>
      </c>
    </row>
    <row r="690" spans="1:15" x14ac:dyDescent="0.25">
      <c r="A690" s="10">
        <v>1</v>
      </c>
      <c r="B690" s="1" t="s">
        <v>176</v>
      </c>
      <c r="C690" s="1" t="s">
        <v>222</v>
      </c>
      <c r="D690" s="37">
        <v>90705</v>
      </c>
      <c r="E690" s="38">
        <v>0</v>
      </c>
      <c r="F690" s="13">
        <f t="shared" ref="F690:F691" si="133">+D690/31*E690</f>
        <v>0</v>
      </c>
      <c r="G690" s="13">
        <v>0</v>
      </c>
      <c r="H690" s="13">
        <f t="shared" ref="H690:H691" si="134">+D690/248*G690</f>
        <v>0</v>
      </c>
      <c r="I690" s="13">
        <f t="shared" ref="I690:I691" si="135">+F690+H690</f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f t="shared" ref="N690:N691" si="136">+J690-K690-L690-M690</f>
        <v>0</v>
      </c>
      <c r="O690" t="s">
        <v>460</v>
      </c>
    </row>
    <row r="691" spans="1:15" ht="15.75" thickBot="1" x14ac:dyDescent="0.3">
      <c r="A691" s="10">
        <v>2</v>
      </c>
      <c r="B691" s="1" t="s">
        <v>295</v>
      </c>
      <c r="C691" s="1" t="s">
        <v>223</v>
      </c>
      <c r="D691" s="37">
        <v>37000</v>
      </c>
      <c r="E691" s="38">
        <v>0</v>
      </c>
      <c r="F691" s="13">
        <f t="shared" si="133"/>
        <v>0</v>
      </c>
      <c r="G691" s="13">
        <v>0</v>
      </c>
      <c r="H691" s="13">
        <f t="shared" si="134"/>
        <v>0</v>
      </c>
      <c r="I691" s="13">
        <f t="shared" si="135"/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f t="shared" si="136"/>
        <v>0</v>
      </c>
      <c r="O691" t="s">
        <v>465</v>
      </c>
    </row>
    <row r="692" spans="1:15" ht="15.75" thickBot="1" x14ac:dyDescent="0.3">
      <c r="A692" s="9"/>
      <c r="B692" s="3" t="s">
        <v>11</v>
      </c>
      <c r="C692" s="3"/>
      <c r="D692" s="39">
        <f>SUM(D690:D691)</f>
        <v>127705</v>
      </c>
      <c r="E692" s="39">
        <f t="shared" ref="E692:N692" si="137">SUM(E690:E691)</f>
        <v>0</v>
      </c>
      <c r="F692" s="39">
        <f t="shared" si="137"/>
        <v>0</v>
      </c>
      <c r="G692" s="39">
        <f t="shared" si="137"/>
        <v>0</v>
      </c>
      <c r="H692" s="39">
        <f t="shared" si="137"/>
        <v>0</v>
      </c>
      <c r="I692" s="39">
        <f t="shared" si="137"/>
        <v>0</v>
      </c>
      <c r="J692" s="39">
        <f t="shared" si="137"/>
        <v>0</v>
      </c>
      <c r="K692" s="39">
        <f t="shared" si="137"/>
        <v>0</v>
      </c>
      <c r="L692" s="39">
        <f t="shared" si="137"/>
        <v>0</v>
      </c>
      <c r="M692" s="39">
        <f t="shared" si="137"/>
        <v>0</v>
      </c>
      <c r="N692" s="39">
        <f t="shared" si="137"/>
        <v>0</v>
      </c>
    </row>
    <row r="693" spans="1:15" x14ac:dyDescent="0.25">
      <c r="J693" s="14"/>
    </row>
    <row r="694" spans="1:15" x14ac:dyDescent="0.25">
      <c r="J694" s="14"/>
    </row>
    <row r="695" spans="1:15" x14ac:dyDescent="0.25">
      <c r="J695" s="14"/>
    </row>
    <row r="696" spans="1:15" x14ac:dyDescent="0.25">
      <c r="J696" s="14"/>
    </row>
    <row r="697" spans="1:15" x14ac:dyDescent="0.25">
      <c r="J697" s="14"/>
    </row>
    <row r="698" spans="1:15" ht="15.75" thickBot="1" x14ac:dyDescent="0.3">
      <c r="C698" s="6" t="s">
        <v>305</v>
      </c>
    </row>
    <row r="699" spans="1:15" ht="15.75" thickBot="1" x14ac:dyDescent="0.3">
      <c r="A699" s="9" t="s">
        <v>0</v>
      </c>
      <c r="B699" s="3" t="s">
        <v>1</v>
      </c>
      <c r="C699" s="3" t="s">
        <v>2</v>
      </c>
      <c r="D699" s="35" t="s">
        <v>3</v>
      </c>
      <c r="E699" s="35" t="s">
        <v>4</v>
      </c>
      <c r="F699" s="35" t="s">
        <v>5</v>
      </c>
      <c r="G699" s="35" t="s">
        <v>6</v>
      </c>
      <c r="H699" s="35" t="s">
        <v>5</v>
      </c>
      <c r="I699" s="35" t="s">
        <v>7</v>
      </c>
      <c r="J699" s="35" t="s">
        <v>8</v>
      </c>
      <c r="K699" s="35" t="s">
        <v>8</v>
      </c>
      <c r="L699" s="35" t="s">
        <v>9</v>
      </c>
      <c r="M699" s="35" t="s">
        <v>467</v>
      </c>
      <c r="N699" s="12" t="s">
        <v>10</v>
      </c>
    </row>
    <row r="700" spans="1:15" x14ac:dyDescent="0.25">
      <c r="A700" s="10">
        <v>1</v>
      </c>
      <c r="B700" s="2" t="s">
        <v>240</v>
      </c>
      <c r="C700" s="2"/>
      <c r="D700" s="13">
        <v>309760</v>
      </c>
      <c r="E700" s="38">
        <v>0</v>
      </c>
      <c r="F700" s="13">
        <f t="shared" ref="F700:F701" si="138">+D700/31*E700</f>
        <v>0</v>
      </c>
      <c r="G700" s="13">
        <v>0</v>
      </c>
      <c r="H700" s="13">
        <f t="shared" ref="H700:H701" si="139">+D700/248*G700</f>
        <v>0</v>
      </c>
      <c r="I700" s="13">
        <f t="shared" ref="I700:I701" si="140">+F700+H700</f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f t="shared" ref="N700:N701" si="141">+J700-K700-L700-M700</f>
        <v>0</v>
      </c>
      <c r="O700" t="s">
        <v>459</v>
      </c>
    </row>
    <row r="701" spans="1:15" ht="15.75" thickBot="1" x14ac:dyDescent="0.3">
      <c r="A701" s="11">
        <v>2</v>
      </c>
      <c r="B701" s="1" t="s">
        <v>241</v>
      </c>
      <c r="C701" s="2"/>
      <c r="D701" s="13">
        <v>303710</v>
      </c>
      <c r="E701" s="38">
        <v>0</v>
      </c>
      <c r="F701" s="13">
        <f t="shared" si="138"/>
        <v>0</v>
      </c>
      <c r="G701" s="13">
        <v>0</v>
      </c>
      <c r="H701" s="13">
        <f t="shared" si="139"/>
        <v>0</v>
      </c>
      <c r="I701" s="13">
        <f t="shared" si="140"/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f t="shared" si="141"/>
        <v>0</v>
      </c>
      <c r="O701" t="s">
        <v>459</v>
      </c>
    </row>
    <row r="702" spans="1:15" ht="15.75" thickBot="1" x14ac:dyDescent="0.3">
      <c r="A702" s="9"/>
      <c r="B702" s="3" t="s">
        <v>11</v>
      </c>
      <c r="C702" s="3"/>
      <c r="D702" s="39">
        <f>SUM(D700:D701)</f>
        <v>613470</v>
      </c>
      <c r="E702" s="39">
        <f t="shared" ref="E702:N702" si="142">SUM(E700:E701)</f>
        <v>0</v>
      </c>
      <c r="F702" s="39">
        <f t="shared" si="142"/>
        <v>0</v>
      </c>
      <c r="G702" s="39">
        <f t="shared" si="142"/>
        <v>0</v>
      </c>
      <c r="H702" s="39">
        <f t="shared" si="142"/>
        <v>0</v>
      </c>
      <c r="I702" s="39">
        <f t="shared" si="142"/>
        <v>0</v>
      </c>
      <c r="J702" s="39">
        <f t="shared" si="142"/>
        <v>0</v>
      </c>
      <c r="K702" s="39">
        <f t="shared" si="142"/>
        <v>0</v>
      </c>
      <c r="L702" s="39">
        <f t="shared" si="142"/>
        <v>0</v>
      </c>
      <c r="M702" s="39">
        <f t="shared" si="142"/>
        <v>0</v>
      </c>
      <c r="N702" s="39">
        <f t="shared" si="142"/>
        <v>0</v>
      </c>
    </row>
    <row r="710" spans="1:15" ht="15.75" thickBot="1" x14ac:dyDescent="0.3">
      <c r="C710" s="6" t="s">
        <v>307</v>
      </c>
    </row>
    <row r="711" spans="1:15" ht="15.75" thickBot="1" x14ac:dyDescent="0.3">
      <c r="A711" s="9" t="s">
        <v>0</v>
      </c>
      <c r="B711" s="3" t="s">
        <v>1</v>
      </c>
      <c r="C711" s="3" t="s">
        <v>2</v>
      </c>
      <c r="D711" s="35" t="s">
        <v>3</v>
      </c>
      <c r="E711" s="35" t="s">
        <v>4</v>
      </c>
      <c r="F711" s="35" t="s">
        <v>5</v>
      </c>
      <c r="G711" s="35" t="s">
        <v>6</v>
      </c>
      <c r="H711" s="35" t="s">
        <v>5</v>
      </c>
      <c r="I711" s="35" t="s">
        <v>7</v>
      </c>
      <c r="J711" s="35" t="s">
        <v>8</v>
      </c>
      <c r="K711" s="35" t="s">
        <v>8</v>
      </c>
      <c r="L711" s="35" t="s">
        <v>9</v>
      </c>
      <c r="M711" s="35" t="s">
        <v>467</v>
      </c>
      <c r="N711" s="12" t="s">
        <v>10</v>
      </c>
    </row>
    <row r="712" spans="1:15" x14ac:dyDescent="0.25">
      <c r="A712" s="10">
        <v>1</v>
      </c>
      <c r="B712" s="2" t="s">
        <v>242</v>
      </c>
      <c r="C712" s="2"/>
      <c r="D712" s="13">
        <v>330000</v>
      </c>
      <c r="E712" s="38">
        <v>0</v>
      </c>
      <c r="F712" s="13">
        <f t="shared" ref="F712:F713" si="143">+D712/31*E712</f>
        <v>0</v>
      </c>
      <c r="G712" s="13">
        <v>0</v>
      </c>
      <c r="H712" s="13">
        <f t="shared" ref="H712:H713" si="144">+D712/248*G712</f>
        <v>0</v>
      </c>
      <c r="I712" s="13">
        <f t="shared" ref="I712:I713" si="145">+F712+H712</f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f t="shared" ref="N712:N713" si="146">+J712-K712-L712-M712</f>
        <v>0</v>
      </c>
      <c r="O712" t="s">
        <v>460</v>
      </c>
    </row>
    <row r="713" spans="1:15" ht="15.75" thickBot="1" x14ac:dyDescent="0.3">
      <c r="A713" s="11"/>
      <c r="B713" s="1"/>
      <c r="C713" s="2"/>
      <c r="D713" s="13">
        <v>0</v>
      </c>
      <c r="E713" s="38">
        <v>0</v>
      </c>
      <c r="F713" s="13">
        <f t="shared" si="143"/>
        <v>0</v>
      </c>
      <c r="G713" s="13">
        <v>0</v>
      </c>
      <c r="H713" s="13">
        <f t="shared" si="144"/>
        <v>0</v>
      </c>
      <c r="I713" s="13">
        <f t="shared" si="145"/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f t="shared" si="146"/>
        <v>0</v>
      </c>
    </row>
    <row r="714" spans="1:15" ht="15.75" thickBot="1" x14ac:dyDescent="0.3">
      <c r="A714" s="9"/>
      <c r="B714" s="3" t="s">
        <v>11</v>
      </c>
      <c r="C714" s="3"/>
      <c r="D714" s="39">
        <f>SUM(D712:D713)</f>
        <v>330000</v>
      </c>
      <c r="E714" s="39">
        <f t="shared" ref="E714:N714" si="147">SUM(E712:E713)</f>
        <v>0</v>
      </c>
      <c r="F714" s="39">
        <f t="shared" si="147"/>
        <v>0</v>
      </c>
      <c r="G714" s="39">
        <f t="shared" si="147"/>
        <v>0</v>
      </c>
      <c r="H714" s="39">
        <f t="shared" si="147"/>
        <v>0</v>
      </c>
      <c r="I714" s="39">
        <f t="shared" si="147"/>
        <v>0</v>
      </c>
      <c r="J714" s="39">
        <f t="shared" si="147"/>
        <v>0</v>
      </c>
      <c r="K714" s="39">
        <f t="shared" si="147"/>
        <v>0</v>
      </c>
      <c r="L714" s="39">
        <f t="shared" si="147"/>
        <v>0</v>
      </c>
      <c r="M714" s="39">
        <f t="shared" si="147"/>
        <v>0</v>
      </c>
      <c r="N714" s="39">
        <f t="shared" si="147"/>
        <v>0</v>
      </c>
    </row>
    <row r="724" spans="1:15" ht="15.75" thickBot="1" x14ac:dyDescent="0.3">
      <c r="C724" s="6" t="s">
        <v>308</v>
      </c>
    </row>
    <row r="725" spans="1:15" ht="15.75" thickBot="1" x14ac:dyDescent="0.3">
      <c r="A725" s="9" t="s">
        <v>0</v>
      </c>
      <c r="B725" s="3" t="s">
        <v>1</v>
      </c>
      <c r="C725" s="3" t="s">
        <v>2</v>
      </c>
      <c r="D725" s="35" t="s">
        <v>3</v>
      </c>
      <c r="E725" s="35" t="s">
        <v>4</v>
      </c>
      <c r="F725" s="35" t="s">
        <v>5</v>
      </c>
      <c r="G725" s="35" t="s">
        <v>6</v>
      </c>
      <c r="H725" s="35" t="s">
        <v>5</v>
      </c>
      <c r="I725" s="35" t="s">
        <v>7</v>
      </c>
      <c r="J725" s="35" t="s">
        <v>8</v>
      </c>
      <c r="K725" s="35" t="s">
        <v>8</v>
      </c>
      <c r="L725" s="35" t="s">
        <v>9</v>
      </c>
      <c r="M725" s="35" t="s">
        <v>467</v>
      </c>
      <c r="N725" s="12" t="s">
        <v>10</v>
      </c>
    </row>
    <row r="726" spans="1:15" x14ac:dyDescent="0.25">
      <c r="A726" s="10">
        <v>1</v>
      </c>
      <c r="B726" s="2" t="s">
        <v>198</v>
      </c>
      <c r="C726" s="2"/>
      <c r="D726" s="13">
        <v>277200</v>
      </c>
      <c r="E726" s="38">
        <v>0</v>
      </c>
      <c r="F726" s="13">
        <f t="shared" ref="F726:F727" si="148">+D726/31*E726</f>
        <v>0</v>
      </c>
      <c r="G726" s="13">
        <v>0</v>
      </c>
      <c r="H726" s="13">
        <f t="shared" ref="H726:H727" si="149">+D726/248*G726</f>
        <v>0</v>
      </c>
      <c r="I726" s="13">
        <f t="shared" ref="I726:I727" si="150">+F726+H726</f>
        <v>0</v>
      </c>
      <c r="J726" s="13">
        <v>0</v>
      </c>
      <c r="K726" s="13">
        <v>0</v>
      </c>
      <c r="L726" s="13">
        <v>0</v>
      </c>
      <c r="M726" s="13">
        <v>0</v>
      </c>
      <c r="N726" s="13">
        <f t="shared" ref="N726:N727" si="151">+J726-K726-L726-M726</f>
        <v>0</v>
      </c>
      <c r="O726" t="s">
        <v>459</v>
      </c>
    </row>
    <row r="727" spans="1:15" ht="15.75" thickBot="1" x14ac:dyDescent="0.3">
      <c r="A727" s="11">
        <v>2</v>
      </c>
      <c r="B727" s="1"/>
      <c r="C727" s="2"/>
      <c r="D727" s="13"/>
      <c r="E727" s="38">
        <v>0</v>
      </c>
      <c r="F727" s="13">
        <f t="shared" si="148"/>
        <v>0</v>
      </c>
      <c r="G727" s="13">
        <v>0</v>
      </c>
      <c r="H727" s="13">
        <f t="shared" si="149"/>
        <v>0</v>
      </c>
      <c r="I727" s="13">
        <f t="shared" si="150"/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f t="shared" si="151"/>
        <v>0</v>
      </c>
    </row>
    <row r="728" spans="1:15" ht="15.75" thickBot="1" x14ac:dyDescent="0.3">
      <c r="A728" s="9"/>
      <c r="B728" s="3" t="s">
        <v>11</v>
      </c>
      <c r="C728" s="3"/>
      <c r="D728" s="39">
        <f>SUM(D726:D727)</f>
        <v>277200</v>
      </c>
      <c r="E728" s="39">
        <f t="shared" ref="E728:N728" si="152">SUM(E726:E727)</f>
        <v>0</v>
      </c>
      <c r="F728" s="39">
        <f t="shared" si="152"/>
        <v>0</v>
      </c>
      <c r="G728" s="39">
        <f t="shared" si="152"/>
        <v>0</v>
      </c>
      <c r="H728" s="39">
        <f t="shared" si="152"/>
        <v>0</v>
      </c>
      <c r="I728" s="39">
        <f t="shared" si="152"/>
        <v>0</v>
      </c>
      <c r="J728" s="39">
        <f t="shared" si="152"/>
        <v>0</v>
      </c>
      <c r="K728" s="39">
        <f t="shared" si="152"/>
        <v>0</v>
      </c>
      <c r="L728" s="39">
        <f t="shared" si="152"/>
        <v>0</v>
      </c>
      <c r="M728" s="39">
        <f t="shared" si="152"/>
        <v>0</v>
      </c>
      <c r="N728" s="39">
        <f t="shared" si="152"/>
        <v>0</v>
      </c>
    </row>
    <row r="732" spans="1:15" ht="15.75" thickBot="1" x14ac:dyDescent="0.3">
      <c r="C732" s="6" t="s">
        <v>309</v>
      </c>
    </row>
    <row r="733" spans="1:15" ht="15.75" thickBot="1" x14ac:dyDescent="0.3">
      <c r="A733" s="9" t="s">
        <v>0</v>
      </c>
      <c r="B733" s="3" t="s">
        <v>1</v>
      </c>
      <c r="C733" s="3" t="s">
        <v>2</v>
      </c>
      <c r="D733" s="35" t="s">
        <v>3</v>
      </c>
      <c r="E733" s="35" t="s">
        <v>4</v>
      </c>
      <c r="F733" s="35" t="s">
        <v>5</v>
      </c>
      <c r="G733" s="35" t="s">
        <v>6</v>
      </c>
      <c r="H733" s="35" t="s">
        <v>5</v>
      </c>
      <c r="I733" s="35" t="s">
        <v>7</v>
      </c>
      <c r="J733" s="35" t="s">
        <v>8</v>
      </c>
      <c r="K733" s="35" t="s">
        <v>8</v>
      </c>
      <c r="L733" s="35" t="s">
        <v>9</v>
      </c>
      <c r="M733" s="35" t="s">
        <v>467</v>
      </c>
      <c r="N733" s="12" t="s">
        <v>10</v>
      </c>
    </row>
    <row r="734" spans="1:15" x14ac:dyDescent="0.25">
      <c r="A734" s="10">
        <v>1</v>
      </c>
      <c r="B734" s="2" t="s">
        <v>243</v>
      </c>
      <c r="C734" s="2"/>
      <c r="D734" s="13">
        <v>220000</v>
      </c>
      <c r="E734" s="38">
        <v>0</v>
      </c>
      <c r="F734" s="13">
        <f t="shared" ref="F734:F735" si="153">+D734/31*E734</f>
        <v>0</v>
      </c>
      <c r="G734" s="13">
        <v>0</v>
      </c>
      <c r="H734" s="13">
        <f t="shared" ref="H734:H735" si="154">+D734/248*G734</f>
        <v>0</v>
      </c>
      <c r="I734" s="13">
        <f t="shared" ref="I734:I735" si="155">+F734+H734</f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f t="shared" ref="N734:N735" si="156">+J734-K734-L734-M734</f>
        <v>0</v>
      </c>
      <c r="O734" t="s">
        <v>459</v>
      </c>
    </row>
    <row r="735" spans="1:15" ht="15.75" thickBot="1" x14ac:dyDescent="0.3">
      <c r="A735" s="11">
        <v>2</v>
      </c>
      <c r="B735" s="1"/>
      <c r="C735" s="2"/>
      <c r="D735" s="13"/>
      <c r="E735" s="38">
        <v>0</v>
      </c>
      <c r="F735" s="13">
        <f t="shared" si="153"/>
        <v>0</v>
      </c>
      <c r="G735" s="13">
        <v>0</v>
      </c>
      <c r="H735" s="13">
        <f t="shared" si="154"/>
        <v>0</v>
      </c>
      <c r="I735" s="13">
        <f t="shared" si="155"/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f t="shared" si="156"/>
        <v>0</v>
      </c>
    </row>
    <row r="736" spans="1:15" ht="15.75" thickBot="1" x14ac:dyDescent="0.3">
      <c r="A736" s="9"/>
      <c r="B736" s="3" t="s">
        <v>11</v>
      </c>
      <c r="C736" s="3"/>
      <c r="D736" s="39">
        <f>SUM(D734:D735)</f>
        <v>220000</v>
      </c>
      <c r="E736" s="39">
        <f t="shared" ref="E736:N736" si="157">SUM(E734:E735)</f>
        <v>0</v>
      </c>
      <c r="F736" s="39">
        <f t="shared" si="157"/>
        <v>0</v>
      </c>
      <c r="G736" s="39">
        <f t="shared" si="157"/>
        <v>0</v>
      </c>
      <c r="H736" s="39">
        <f t="shared" si="157"/>
        <v>0</v>
      </c>
      <c r="I736" s="39">
        <f t="shared" si="157"/>
        <v>0</v>
      </c>
      <c r="J736" s="39">
        <f t="shared" si="157"/>
        <v>0</v>
      </c>
      <c r="K736" s="39">
        <f t="shared" si="157"/>
        <v>0</v>
      </c>
      <c r="L736" s="39">
        <f t="shared" si="157"/>
        <v>0</v>
      </c>
      <c r="M736" s="39">
        <f t="shared" si="157"/>
        <v>0</v>
      </c>
      <c r="N736" s="39">
        <f t="shared" si="157"/>
        <v>0</v>
      </c>
    </row>
    <row r="741" spans="1:15" ht="15.75" thickBot="1" x14ac:dyDescent="0.3">
      <c r="C741" s="6" t="s">
        <v>310</v>
      </c>
    </row>
    <row r="742" spans="1:15" ht="15.75" thickBot="1" x14ac:dyDescent="0.3">
      <c r="A742" s="9" t="s">
        <v>0</v>
      </c>
      <c r="B742" s="3" t="s">
        <v>1</v>
      </c>
      <c r="C742" s="3" t="s">
        <v>2</v>
      </c>
      <c r="D742" s="35" t="s">
        <v>3</v>
      </c>
      <c r="E742" s="35" t="s">
        <v>4</v>
      </c>
      <c r="F742" s="35" t="s">
        <v>5</v>
      </c>
      <c r="G742" s="35" t="s">
        <v>6</v>
      </c>
      <c r="H742" s="35" t="s">
        <v>5</v>
      </c>
      <c r="I742" s="35" t="s">
        <v>7</v>
      </c>
      <c r="J742" s="35" t="s">
        <v>8</v>
      </c>
      <c r="K742" s="35" t="s">
        <v>8</v>
      </c>
      <c r="L742" s="35" t="s">
        <v>9</v>
      </c>
      <c r="M742" s="35" t="s">
        <v>467</v>
      </c>
      <c r="N742" s="12" t="s">
        <v>10</v>
      </c>
    </row>
    <row r="743" spans="1:15" x14ac:dyDescent="0.25">
      <c r="A743" s="10">
        <v>1</v>
      </c>
      <c r="B743" s="2" t="s">
        <v>256</v>
      </c>
      <c r="C743" s="2"/>
      <c r="D743" s="13">
        <v>190000</v>
      </c>
      <c r="E743" s="38">
        <v>0</v>
      </c>
      <c r="F743" s="13">
        <f t="shared" ref="F743:F744" si="158">+D743/31*E743</f>
        <v>0</v>
      </c>
      <c r="G743" s="13">
        <v>0</v>
      </c>
      <c r="H743" s="13">
        <f t="shared" ref="H743:H744" si="159">+D743/248*G743</f>
        <v>0</v>
      </c>
      <c r="I743" s="13">
        <f t="shared" ref="I743:I744" si="160">+F743+H743</f>
        <v>0</v>
      </c>
      <c r="J743" s="13">
        <v>0</v>
      </c>
      <c r="K743" s="13">
        <v>0</v>
      </c>
      <c r="L743" s="13">
        <v>0</v>
      </c>
      <c r="M743" s="13">
        <v>0</v>
      </c>
      <c r="N743" s="13">
        <f t="shared" ref="N743:N744" si="161">+J743-K743-L743-M743</f>
        <v>0</v>
      </c>
      <c r="O743" t="s">
        <v>459</v>
      </c>
    </row>
    <row r="744" spans="1:15" ht="15.75" thickBot="1" x14ac:dyDescent="0.3">
      <c r="A744" s="11">
        <v>2</v>
      </c>
      <c r="B744" s="1"/>
      <c r="C744" s="2"/>
      <c r="D744" s="13"/>
      <c r="E744" s="38">
        <v>0</v>
      </c>
      <c r="F744" s="13">
        <f t="shared" si="158"/>
        <v>0</v>
      </c>
      <c r="G744" s="13">
        <v>0</v>
      </c>
      <c r="H744" s="13">
        <f t="shared" si="159"/>
        <v>0</v>
      </c>
      <c r="I744" s="13">
        <f t="shared" si="160"/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f t="shared" si="161"/>
        <v>0</v>
      </c>
    </row>
    <row r="745" spans="1:15" ht="15.75" thickBot="1" x14ac:dyDescent="0.3">
      <c r="A745" s="9"/>
      <c r="B745" s="3" t="s">
        <v>11</v>
      </c>
      <c r="C745" s="3"/>
      <c r="D745" s="39">
        <f>SUM(D743:D744)</f>
        <v>190000</v>
      </c>
      <c r="E745" s="39">
        <f t="shared" ref="E745:N745" si="162">SUM(E743:E744)</f>
        <v>0</v>
      </c>
      <c r="F745" s="39">
        <f t="shared" si="162"/>
        <v>0</v>
      </c>
      <c r="G745" s="39">
        <f t="shared" si="162"/>
        <v>0</v>
      </c>
      <c r="H745" s="39">
        <f t="shared" si="162"/>
        <v>0</v>
      </c>
      <c r="I745" s="39">
        <f t="shared" si="162"/>
        <v>0</v>
      </c>
      <c r="J745" s="39">
        <f t="shared" si="162"/>
        <v>0</v>
      </c>
      <c r="K745" s="39">
        <f t="shared" si="162"/>
        <v>0</v>
      </c>
      <c r="L745" s="39">
        <f t="shared" si="162"/>
        <v>0</v>
      </c>
      <c r="M745" s="39">
        <f t="shared" si="162"/>
        <v>0</v>
      </c>
      <c r="N745" s="39">
        <f t="shared" si="162"/>
        <v>0</v>
      </c>
    </row>
    <row r="749" spans="1:15" ht="15.75" thickBot="1" x14ac:dyDescent="0.3">
      <c r="C749" s="6" t="s">
        <v>311</v>
      </c>
    </row>
    <row r="750" spans="1:15" ht="15.75" thickBot="1" x14ac:dyDescent="0.3">
      <c r="A750" s="9" t="s">
        <v>0</v>
      </c>
      <c r="B750" s="3" t="s">
        <v>1</v>
      </c>
      <c r="C750" s="3" t="s">
        <v>2</v>
      </c>
      <c r="D750" s="35" t="s">
        <v>3</v>
      </c>
      <c r="E750" s="35" t="s">
        <v>4</v>
      </c>
      <c r="F750" s="35" t="s">
        <v>5</v>
      </c>
      <c r="G750" s="35" t="s">
        <v>6</v>
      </c>
      <c r="H750" s="35" t="s">
        <v>5</v>
      </c>
      <c r="I750" s="35" t="s">
        <v>7</v>
      </c>
      <c r="J750" s="35" t="s">
        <v>8</v>
      </c>
      <c r="K750" s="35" t="s">
        <v>8</v>
      </c>
      <c r="L750" s="35" t="s">
        <v>9</v>
      </c>
      <c r="M750" s="35" t="s">
        <v>467</v>
      </c>
      <c r="N750" s="12" t="s">
        <v>10</v>
      </c>
    </row>
    <row r="751" spans="1:15" x14ac:dyDescent="0.25">
      <c r="A751" s="10">
        <v>1</v>
      </c>
      <c r="B751" s="2" t="s">
        <v>244</v>
      </c>
      <c r="C751" s="2" t="s">
        <v>351</v>
      </c>
      <c r="D751" s="13">
        <v>27500</v>
      </c>
      <c r="E751" s="38">
        <v>0</v>
      </c>
      <c r="F751" s="13">
        <f t="shared" ref="F751:F754" si="163">+D751/31*E751</f>
        <v>0</v>
      </c>
      <c r="G751" s="13">
        <v>0</v>
      </c>
      <c r="H751" s="13">
        <f t="shared" ref="H751:H754" si="164">+D751/248*G751</f>
        <v>0</v>
      </c>
      <c r="I751" s="13">
        <f t="shared" ref="I751:I754" si="165">+F751+H751</f>
        <v>0</v>
      </c>
      <c r="J751" s="13">
        <v>0</v>
      </c>
      <c r="K751" s="13">
        <v>0</v>
      </c>
      <c r="L751" s="13">
        <v>0</v>
      </c>
      <c r="M751" s="13">
        <v>0</v>
      </c>
      <c r="N751" s="13">
        <f t="shared" ref="N751:N754" si="166">+J751-K751-L751-M751</f>
        <v>0</v>
      </c>
      <c r="O751" t="s">
        <v>454</v>
      </c>
    </row>
    <row r="752" spans="1:15" x14ac:dyDescent="0.25">
      <c r="A752" s="10">
        <v>2</v>
      </c>
      <c r="B752" s="2" t="s">
        <v>43</v>
      </c>
      <c r="C752" s="2" t="s">
        <v>112</v>
      </c>
      <c r="D752" s="13">
        <v>27500</v>
      </c>
      <c r="E752" s="38">
        <v>0</v>
      </c>
      <c r="F752" s="13">
        <f t="shared" si="163"/>
        <v>0</v>
      </c>
      <c r="G752" s="13">
        <v>0</v>
      </c>
      <c r="H752" s="13">
        <f t="shared" si="164"/>
        <v>0</v>
      </c>
      <c r="I752" s="13">
        <f t="shared" si="165"/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f t="shared" si="166"/>
        <v>0</v>
      </c>
      <c r="O752" t="s">
        <v>454</v>
      </c>
    </row>
    <row r="753" spans="1:16" x14ac:dyDescent="0.25">
      <c r="A753" s="10">
        <v>3</v>
      </c>
      <c r="B753" s="2" t="s">
        <v>343</v>
      </c>
      <c r="C753" s="2" t="s">
        <v>112</v>
      </c>
      <c r="D753" s="13">
        <v>27500</v>
      </c>
      <c r="E753" s="38">
        <v>0</v>
      </c>
      <c r="F753" s="13">
        <f t="shared" si="163"/>
        <v>0</v>
      </c>
      <c r="G753" s="13">
        <v>0</v>
      </c>
      <c r="H753" s="13">
        <f t="shared" si="164"/>
        <v>0</v>
      </c>
      <c r="I753" s="13">
        <f t="shared" si="165"/>
        <v>0</v>
      </c>
      <c r="J753" s="13">
        <v>0</v>
      </c>
      <c r="K753" s="13">
        <v>0</v>
      </c>
      <c r="L753" s="13">
        <v>0</v>
      </c>
      <c r="M753" s="13">
        <v>0</v>
      </c>
      <c r="N753" s="13">
        <f t="shared" si="166"/>
        <v>0</v>
      </c>
      <c r="O753" t="s">
        <v>454</v>
      </c>
    </row>
    <row r="754" spans="1:16" ht="15.75" thickBot="1" x14ac:dyDescent="0.3">
      <c r="A754" s="11">
        <v>4</v>
      </c>
      <c r="B754" s="1" t="s">
        <v>42</v>
      </c>
      <c r="C754" s="2" t="s">
        <v>112</v>
      </c>
      <c r="D754" s="13">
        <v>27500</v>
      </c>
      <c r="E754" s="38">
        <v>0</v>
      </c>
      <c r="F754" s="13">
        <f t="shared" si="163"/>
        <v>0</v>
      </c>
      <c r="G754" s="13">
        <v>0</v>
      </c>
      <c r="H754" s="13">
        <f t="shared" si="164"/>
        <v>0</v>
      </c>
      <c r="I754" s="13">
        <f t="shared" si="165"/>
        <v>0</v>
      </c>
      <c r="J754" s="13">
        <v>0</v>
      </c>
      <c r="K754" s="13">
        <v>0</v>
      </c>
      <c r="L754" s="13">
        <v>0</v>
      </c>
      <c r="M754" s="13">
        <v>0</v>
      </c>
      <c r="N754" s="13">
        <f t="shared" si="166"/>
        <v>0</v>
      </c>
      <c r="O754" t="s">
        <v>454</v>
      </c>
      <c r="P754" s="7"/>
    </row>
    <row r="755" spans="1:16" ht="15.75" thickBot="1" x14ac:dyDescent="0.3">
      <c r="A755" s="9"/>
      <c r="B755" s="3" t="s">
        <v>11</v>
      </c>
      <c r="C755" s="3"/>
      <c r="D755" s="39">
        <f>SUM(D751:D754)</f>
        <v>110000</v>
      </c>
      <c r="E755" s="39">
        <f t="shared" ref="E755:N755" si="167">SUM(E751:E754)</f>
        <v>0</v>
      </c>
      <c r="F755" s="39">
        <f t="shared" si="167"/>
        <v>0</v>
      </c>
      <c r="G755" s="39">
        <f t="shared" si="167"/>
        <v>0</v>
      </c>
      <c r="H755" s="39">
        <f t="shared" si="167"/>
        <v>0</v>
      </c>
      <c r="I755" s="39">
        <f t="shared" si="167"/>
        <v>0</v>
      </c>
      <c r="J755" s="39">
        <f t="shared" si="167"/>
        <v>0</v>
      </c>
      <c r="K755" s="39">
        <f t="shared" si="167"/>
        <v>0</v>
      </c>
      <c r="L755" s="39">
        <f t="shared" si="167"/>
        <v>0</v>
      </c>
      <c r="M755" s="39">
        <f t="shared" si="167"/>
        <v>0</v>
      </c>
      <c r="N755" s="39">
        <f t="shared" si="167"/>
        <v>0</v>
      </c>
    </row>
    <row r="757" spans="1:16" x14ac:dyDescent="0.25"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7"/>
    </row>
    <row r="758" spans="1:16" x14ac:dyDescent="0.25">
      <c r="D758" s="14"/>
      <c r="N758" s="14"/>
    </row>
    <row r="759" spans="1:16" x14ac:dyDescent="0.25">
      <c r="I759" s="14"/>
      <c r="J759" s="14"/>
      <c r="M759" s="14"/>
      <c r="N759" s="14"/>
    </row>
    <row r="760" spans="1:16" x14ac:dyDescent="0.25">
      <c r="I760" s="14"/>
      <c r="J760" s="14"/>
      <c r="N760" s="14"/>
    </row>
    <row r="761" spans="1:16" x14ac:dyDescent="0.25">
      <c r="A761"/>
      <c r="J761" s="14"/>
      <c r="M761" s="14"/>
    </row>
    <row r="762" spans="1:16" x14ac:dyDescent="0.25">
      <c r="J762" s="14"/>
      <c r="N762" s="14"/>
    </row>
    <row r="763" spans="1:16" x14ac:dyDescent="0.25">
      <c r="A763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</sheetData>
  <mergeCells count="5">
    <mergeCell ref="M422:N422"/>
    <mergeCell ref="M237:N237"/>
    <mergeCell ref="M672:N672"/>
    <mergeCell ref="M577:N577"/>
    <mergeCell ref="M504:N504"/>
  </mergeCells>
  <pageMargins left="0" right="0" top="0.75" bottom="0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SUMMRY</vt:lpstr>
      <vt:lpstr>Sheet1</vt:lpstr>
      <vt:lpstr>Sheet1!Print_Area</vt:lpstr>
      <vt:lpstr>SUMMRY!Print_Area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2026-08-24T18:52:26Z</dcterms:modified>
</cp:coreProperties>
</file>